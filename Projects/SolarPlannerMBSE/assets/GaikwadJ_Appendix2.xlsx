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9099b8bf7e5b65c3/Documents/Study/MBSE/Final report/"/>
    </mc:Choice>
  </mc:AlternateContent>
  <xr:revisionPtr revIDLastSave="519" documentId="11_8FC96D9913DA8653B0EA4D58BA33575BE14CBE40" xr6:coauthVersionLast="47" xr6:coauthVersionMax="47" xr10:uidLastSave="{8993E0B1-ED18-4C4B-897B-EAD091F787A4}"/>
  <bookViews>
    <workbookView xWindow="-108" yWindow="-108" windowWidth="23256" windowHeight="13896" firstSheet="7" activeTab="8" xr2:uid="{00000000-000D-0000-FFFF-FFFF00000000}"/>
  </bookViews>
  <sheets>
    <sheet name="Customer Affinity Process" sheetId="1" r:id="rId1"/>
    <sheet name="Use Cases" sheetId="2" r:id="rId2"/>
    <sheet name="UCBD1" sheetId="3" r:id="rId3"/>
    <sheet name="UCBD2" sheetId="4" r:id="rId4"/>
    <sheet name="UCBD3" sheetId="5" r:id="rId5"/>
    <sheet name="Originating Requirements" sheetId="7" r:id="rId6"/>
    <sheet name="Concept fragment Generation" sheetId="16" r:id="rId7"/>
    <sheet name="Combination Table" sheetId="9" r:id="rId8"/>
    <sheet name="Decision Matrix" sheetId="11" r:id="rId9"/>
    <sheet name="GQM" sheetId="12" r:id="rId10"/>
    <sheet name="AHP" sheetId="13" r:id="rId11"/>
    <sheet name="QFD" sheetId="14" r:id="rId12"/>
    <sheet name="Subsystem Matrix" sheetId="17" r:id="rId13"/>
    <sheet name="ODT1" sheetId="18" r:id="rId14"/>
    <sheet name="ODT2" sheetId="19" r:id="rId15"/>
    <sheet name="Interface Matrix" sheetId="20" r:id="rId16"/>
    <sheet name="Behavioral Test Plan" sheetId="21" r:id="rId17"/>
    <sheet name="Non Behavioral Test Plan" sheetId="22" r:id="rId18"/>
    <sheet name="VCRM" sheetId="23" r:id="rId19"/>
    <sheet name="Severity &amp; Likelihood Rating " sheetId="24" r:id="rId20"/>
    <sheet name="Criticality rating system" sheetId="25" r:id="rId21"/>
    <sheet name="FMEA" sheetId="26" r:id="rId22"/>
    <sheet name="Fault tree" sheetId="27" r:id="rId23"/>
    <sheet name="Updated Fault tree" sheetId="28" r:id="rId24"/>
    <sheet name="Timeline" sheetId="29" r:id="rId25"/>
  </sheets>
  <externalReferences>
    <externalReference r:id="rId2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28" l="1"/>
  <c r="U15" i="28"/>
  <c r="D12" i="28"/>
  <c r="T10" i="28"/>
  <c r="K10" i="28"/>
  <c r="D9" i="28"/>
  <c r="P6" i="28"/>
  <c r="D6" i="28"/>
  <c r="U5" i="28"/>
  <c r="F5" i="28"/>
  <c r="D5" i="28"/>
  <c r="D4" i="28"/>
  <c r="P3" i="28"/>
  <c r="D3" i="28"/>
  <c r="D4" i="27"/>
  <c r="F5" i="27"/>
  <c r="D9" i="27"/>
  <c r="D5" i="27" s="1"/>
  <c r="K10" i="27"/>
  <c r="P6" i="27" s="1"/>
  <c r="U15" i="27"/>
  <c r="T10" i="27" s="1"/>
  <c r="U5" i="27" s="1"/>
  <c r="D18" i="27"/>
  <c r="D12" i="27" s="1"/>
  <c r="D6" i="27" s="1"/>
  <c r="H20" i="26"/>
  <c r="N19" i="26"/>
  <c r="H19" i="26"/>
  <c r="H18" i="26"/>
  <c r="H17" i="26"/>
  <c r="H16" i="26"/>
  <c r="U15" i="26"/>
  <c r="N15" i="26"/>
  <c r="H15" i="26"/>
  <c r="U14" i="26"/>
  <c r="N14" i="26"/>
  <c r="H14" i="26"/>
  <c r="N13" i="26"/>
  <c r="H13" i="26"/>
  <c r="H12" i="26"/>
  <c r="H11" i="26"/>
  <c r="N10" i="26"/>
  <c r="H9" i="26"/>
  <c r="H8" i="26"/>
  <c r="U7" i="26"/>
  <c r="N7" i="26"/>
  <c r="H7" i="26"/>
  <c r="H6" i="26"/>
  <c r="N5" i="26"/>
  <c r="H5" i="26"/>
  <c r="N4" i="26"/>
  <c r="H4" i="26"/>
  <c r="H3" i="26"/>
  <c r="N2" i="26"/>
  <c r="H2" i="26"/>
  <c r="T47" i="14"/>
  <c r="S47" i="14"/>
  <c r="R47" i="14"/>
  <c r="Q47" i="14"/>
  <c r="P47" i="14"/>
  <c r="O47" i="14"/>
  <c r="N47" i="14"/>
  <c r="M47" i="14"/>
  <c r="L47" i="14"/>
  <c r="K47" i="14"/>
  <c r="J47" i="14"/>
  <c r="I47" i="14"/>
  <c r="H47" i="14"/>
  <c r="G47" i="14"/>
  <c r="F47" i="14"/>
  <c r="E47" i="14"/>
  <c r="T46" i="14"/>
  <c r="S46" i="14"/>
  <c r="R46" i="14"/>
  <c r="Q46" i="14"/>
  <c r="P46" i="14"/>
  <c r="O46" i="14"/>
  <c r="N46" i="14"/>
  <c r="M46" i="14"/>
  <c r="L46" i="14"/>
  <c r="K46" i="14"/>
  <c r="J46" i="14"/>
  <c r="I46" i="14"/>
  <c r="H46" i="14"/>
  <c r="G46" i="14"/>
  <c r="F46" i="14"/>
  <c r="E46" i="14"/>
  <c r="T45" i="14"/>
  <c r="S45" i="14"/>
  <c r="R45" i="14"/>
  <c r="Q45" i="14"/>
  <c r="P45" i="14"/>
  <c r="O45" i="14"/>
  <c r="N45" i="14"/>
  <c r="M45" i="14"/>
  <c r="L45" i="14"/>
  <c r="K45" i="14"/>
  <c r="J45" i="14"/>
  <c r="I45" i="14"/>
  <c r="H45" i="14"/>
  <c r="G45" i="14"/>
  <c r="F45" i="14"/>
  <c r="E45" i="14"/>
  <c r="AJ37" i="14"/>
  <c r="AI37" i="14"/>
  <c r="AH37" i="14"/>
  <c r="AG37" i="14"/>
  <c r="AF37" i="14"/>
  <c r="AE37" i="14"/>
  <c r="AD37" i="14"/>
  <c r="AC37" i="14"/>
  <c r="AJ36" i="14"/>
  <c r="AI36" i="14"/>
  <c r="AH36" i="14"/>
  <c r="AG36" i="14"/>
  <c r="AF36" i="14"/>
  <c r="AE36" i="14"/>
  <c r="AD36" i="14"/>
  <c r="AC36" i="14"/>
  <c r="A36" i="14"/>
  <c r="AJ35" i="14"/>
  <c r="AI35" i="14"/>
  <c r="AH35" i="14"/>
  <c r="AG35" i="14"/>
  <c r="AF35" i="14"/>
  <c r="AE35" i="14"/>
  <c r="AD35" i="14"/>
  <c r="AC35" i="14"/>
  <c r="A35" i="14"/>
  <c r="AJ34" i="14"/>
  <c r="AI34" i="14"/>
  <c r="AH34" i="14"/>
  <c r="AG34" i="14"/>
  <c r="AF34" i="14"/>
  <c r="AE34" i="14"/>
  <c r="AD34" i="14"/>
  <c r="AC34" i="14"/>
  <c r="A34" i="14"/>
  <c r="AJ33" i="14"/>
  <c r="AI33" i="14"/>
  <c r="AH33" i="14"/>
  <c r="AG33" i="14"/>
  <c r="AF33" i="14"/>
  <c r="AE33" i="14"/>
  <c r="AD33" i="14"/>
  <c r="AC33" i="14"/>
  <c r="A33" i="14"/>
  <c r="AJ32" i="14"/>
  <c r="AI32" i="14"/>
  <c r="AH32" i="14"/>
  <c r="AG32" i="14"/>
  <c r="AF32" i="14"/>
  <c r="AE32" i="14"/>
  <c r="AD32" i="14"/>
  <c r="AC32" i="14"/>
  <c r="A32" i="14"/>
  <c r="AJ31" i="14"/>
  <c r="AI31" i="14"/>
  <c r="AH31" i="14"/>
  <c r="AG31" i="14"/>
  <c r="AF31" i="14"/>
  <c r="AE31" i="14"/>
  <c r="AD31" i="14"/>
  <c r="AC31" i="14"/>
  <c r="A31" i="14"/>
  <c r="AJ30" i="14"/>
  <c r="AI30" i="14"/>
  <c r="AH30" i="14"/>
  <c r="AG30" i="14"/>
  <c r="AF30" i="14"/>
  <c r="AE30" i="14"/>
  <c r="AD30" i="14"/>
  <c r="AC30" i="14"/>
  <c r="A30" i="14"/>
  <c r="AJ29" i="14"/>
  <c r="AI29" i="14"/>
  <c r="AH29" i="14"/>
  <c r="AG29" i="14"/>
  <c r="AF29" i="14"/>
  <c r="AE29" i="14"/>
  <c r="AD29" i="14"/>
  <c r="AC29" i="14"/>
  <c r="A29" i="14"/>
  <c r="AJ28" i="14"/>
  <c r="AI28" i="14"/>
  <c r="AH28" i="14"/>
  <c r="AG28" i="14"/>
  <c r="AF28" i="14"/>
  <c r="AE28" i="14"/>
  <c r="AD28" i="14"/>
  <c r="AC28" i="14"/>
  <c r="A28" i="14"/>
  <c r="AJ27" i="14"/>
  <c r="AI27" i="14"/>
  <c r="AH27" i="14"/>
  <c r="AG27" i="14"/>
  <c r="AF27" i="14"/>
  <c r="AE27" i="14"/>
  <c r="AD27" i="14"/>
  <c r="AC27" i="14"/>
  <c r="A27" i="14"/>
  <c r="AJ26" i="14"/>
  <c r="AI26" i="14"/>
  <c r="AH26" i="14"/>
  <c r="AG26" i="14"/>
  <c r="AF26" i="14"/>
  <c r="AE26" i="14"/>
  <c r="AD26" i="14"/>
  <c r="AC26" i="14"/>
  <c r="A26" i="14"/>
  <c r="AJ25" i="14"/>
  <c r="AI25" i="14"/>
  <c r="AH25" i="14"/>
  <c r="AG25" i="14"/>
  <c r="AF25" i="14"/>
  <c r="AE25" i="14"/>
  <c r="AD25" i="14"/>
  <c r="AC25" i="14"/>
  <c r="A25" i="14"/>
  <c r="AJ24" i="14"/>
  <c r="AI24" i="14"/>
  <c r="AH24" i="14"/>
  <c r="AG24" i="14"/>
  <c r="AF24" i="14"/>
  <c r="AE24" i="14"/>
  <c r="AD24" i="14"/>
  <c r="AC24" i="14"/>
  <c r="A24" i="14"/>
  <c r="AJ23" i="14"/>
  <c r="AI23" i="14"/>
  <c r="AH23" i="14"/>
  <c r="AG23" i="14"/>
  <c r="AF23" i="14"/>
  <c r="AE23" i="14"/>
  <c r="AD23" i="14"/>
  <c r="AC23" i="14"/>
  <c r="D22" i="14"/>
  <c r="T19" i="14"/>
  <c r="S19" i="14"/>
  <c r="R19" i="14"/>
  <c r="Q19" i="14"/>
  <c r="P19" i="14"/>
  <c r="O19" i="14"/>
  <c r="N19" i="14"/>
  <c r="M19" i="14"/>
  <c r="L19" i="14"/>
  <c r="K19" i="14"/>
  <c r="J19" i="14"/>
  <c r="I19" i="14"/>
  <c r="H19" i="14"/>
  <c r="G19" i="14"/>
  <c r="F19" i="14"/>
  <c r="D18" i="14"/>
  <c r="D17" i="14"/>
  <c r="D16" i="14"/>
  <c r="D15" i="14"/>
  <c r="D14" i="14"/>
  <c r="D13" i="14"/>
  <c r="D12" i="14"/>
  <c r="D11" i="14"/>
  <c r="D10" i="14"/>
  <c r="D9" i="14"/>
  <c r="D8" i="14"/>
  <c r="D7" i="14"/>
  <c r="D6" i="14"/>
  <c r="D5" i="14"/>
  <c r="D4" i="14"/>
  <c r="L11" i="13"/>
  <c r="K11" i="13"/>
  <c r="J11" i="13"/>
  <c r="I11" i="13"/>
  <c r="H11" i="13"/>
  <c r="G11" i="13"/>
  <c r="F11" i="13"/>
  <c r="E11" i="13"/>
  <c r="D11" i="13"/>
  <c r="C11" i="13"/>
  <c r="B11" i="13"/>
  <c r="E208" i="11"/>
  <c r="J207" i="11"/>
  <c r="I207" i="11"/>
  <c r="H207" i="11"/>
  <c r="E207" i="11"/>
  <c r="E206" i="11"/>
  <c r="N199" i="11"/>
  <c r="M199" i="11"/>
  <c r="L199" i="11"/>
  <c r="J199" i="11"/>
  <c r="I199" i="11"/>
  <c r="H199" i="11"/>
  <c r="N198" i="11"/>
  <c r="M198" i="11"/>
  <c r="L198" i="11"/>
  <c r="K198" i="11"/>
  <c r="J198" i="11"/>
  <c r="I198" i="11"/>
  <c r="H198" i="11"/>
  <c r="N197" i="11"/>
  <c r="M197" i="11"/>
  <c r="L197" i="11"/>
  <c r="K197" i="11"/>
  <c r="J197" i="11"/>
  <c r="I197" i="11"/>
  <c r="H197" i="11"/>
  <c r="N196" i="11"/>
  <c r="M196" i="11"/>
  <c r="L196" i="11"/>
  <c r="K196" i="11"/>
  <c r="J196" i="11"/>
  <c r="I196" i="11"/>
  <c r="H196" i="11"/>
  <c r="N195" i="11"/>
  <c r="M195" i="11"/>
  <c r="L195" i="11"/>
  <c r="K195" i="11"/>
  <c r="J195" i="11"/>
  <c r="I195" i="11"/>
  <c r="H195" i="11"/>
  <c r="N194" i="11"/>
  <c r="M194" i="11"/>
  <c r="L194" i="11"/>
  <c r="K194" i="11"/>
  <c r="J194" i="11"/>
  <c r="I194" i="11"/>
  <c r="H194" i="11"/>
  <c r="N193" i="11"/>
  <c r="M193" i="11"/>
  <c r="L193" i="11"/>
  <c r="K193" i="11"/>
  <c r="J193" i="11"/>
  <c r="I193" i="11"/>
  <c r="H193" i="11"/>
  <c r="N192" i="11"/>
  <c r="M192" i="11"/>
  <c r="L192" i="11"/>
  <c r="K192" i="11"/>
  <c r="J192" i="11"/>
  <c r="I192" i="11"/>
  <c r="H192" i="11"/>
  <c r="N191" i="11"/>
  <c r="M191" i="11"/>
  <c r="L191" i="11"/>
  <c r="K191" i="11"/>
  <c r="J191" i="11"/>
  <c r="I191" i="11"/>
  <c r="H191" i="11"/>
  <c r="J181" i="11"/>
  <c r="I181" i="11"/>
  <c r="H181" i="11"/>
  <c r="K180" i="11"/>
  <c r="J180" i="11"/>
  <c r="I180" i="11"/>
  <c r="H180" i="11"/>
  <c r="K179" i="11"/>
  <c r="J179" i="11"/>
  <c r="I179" i="11"/>
  <c r="H179" i="11"/>
  <c r="K178" i="11"/>
  <c r="J178" i="11"/>
  <c r="I178" i="11"/>
  <c r="H178" i="11"/>
  <c r="K177" i="11"/>
  <c r="J177" i="11"/>
  <c r="I177" i="11"/>
  <c r="H177" i="11"/>
  <c r="K176" i="11"/>
  <c r="J176" i="11"/>
  <c r="I176" i="11"/>
  <c r="H176" i="11"/>
  <c r="K175" i="11"/>
  <c r="J175" i="11"/>
  <c r="I175" i="11"/>
  <c r="H175" i="11"/>
  <c r="K174" i="11"/>
  <c r="J174" i="11"/>
  <c r="I174" i="11"/>
  <c r="H174" i="11"/>
  <c r="K173" i="11"/>
  <c r="J173" i="11"/>
  <c r="I173" i="11"/>
  <c r="H173" i="11"/>
  <c r="C167" i="11"/>
  <c r="C166" i="11"/>
  <c r="C165" i="11"/>
  <c r="C164" i="11"/>
  <c r="C163" i="11"/>
  <c r="C162" i="11"/>
  <c r="C161" i="11"/>
  <c r="C160" i="11"/>
  <c r="C159" i="11"/>
  <c r="J141" i="11"/>
  <c r="I141" i="11"/>
  <c r="H141" i="11"/>
  <c r="J140" i="11"/>
  <c r="I140" i="11"/>
  <c r="H140" i="11"/>
  <c r="J139" i="11"/>
  <c r="I139" i="11"/>
  <c r="H139" i="11"/>
  <c r="J138" i="11"/>
  <c r="I138" i="11"/>
  <c r="H138" i="11"/>
  <c r="J137" i="11"/>
  <c r="I137" i="11"/>
  <c r="H137" i="11"/>
  <c r="J136" i="11"/>
  <c r="I136" i="11"/>
  <c r="H136" i="11"/>
  <c r="J135" i="11"/>
  <c r="I135" i="11"/>
  <c r="H135" i="11"/>
  <c r="J134" i="11"/>
  <c r="I134" i="11"/>
  <c r="H134" i="11"/>
  <c r="J133" i="11"/>
  <c r="I133" i="11"/>
  <c r="H133" i="11"/>
  <c r="J127" i="11"/>
  <c r="I127" i="11"/>
  <c r="H127" i="11"/>
  <c r="J126" i="11"/>
  <c r="I126" i="11"/>
  <c r="H126" i="11"/>
  <c r="J125" i="11"/>
  <c r="I125" i="11"/>
  <c r="H125" i="11"/>
  <c r="J124" i="11"/>
  <c r="I124" i="11"/>
  <c r="H124" i="11"/>
  <c r="J123" i="11"/>
  <c r="I123" i="11"/>
  <c r="H123" i="11"/>
  <c r="J122" i="11"/>
  <c r="I122" i="11"/>
  <c r="H122" i="11"/>
  <c r="J121" i="11"/>
  <c r="I121" i="11"/>
  <c r="H121" i="11"/>
  <c r="J120" i="11"/>
  <c r="I120" i="11"/>
  <c r="H120" i="11"/>
  <c r="J119" i="11"/>
  <c r="I119" i="11"/>
  <c r="H119" i="11"/>
  <c r="E114" i="11"/>
  <c r="D114" i="11"/>
  <c r="C114" i="11"/>
  <c r="E113" i="11"/>
  <c r="D113" i="11"/>
  <c r="C113" i="11"/>
  <c r="I112" i="11"/>
  <c r="E105" i="11"/>
  <c r="D105" i="11"/>
  <c r="C105" i="11"/>
  <c r="E104" i="11"/>
  <c r="D104" i="11"/>
  <c r="C104" i="11"/>
  <c r="I103" i="11"/>
  <c r="E96" i="11"/>
  <c r="D96" i="11"/>
  <c r="C96" i="11"/>
  <c r="E95" i="11"/>
  <c r="D95" i="11"/>
  <c r="C95" i="11"/>
  <c r="I94" i="11"/>
  <c r="E76" i="11"/>
  <c r="D76" i="11"/>
  <c r="C76" i="11"/>
  <c r="E75" i="11"/>
  <c r="D75" i="11"/>
  <c r="C75" i="11"/>
  <c r="E74" i="11"/>
  <c r="D74" i="11"/>
  <c r="C74" i="11"/>
  <c r="E71" i="11"/>
  <c r="D71" i="11"/>
  <c r="C71" i="11"/>
  <c r="E63" i="11"/>
  <c r="D63" i="11"/>
  <c r="C63" i="11"/>
  <c r="I62" i="11"/>
  <c r="F25" i="1"/>
  <c r="D25" i="1"/>
  <c r="B25" i="1"/>
  <c r="P3" i="27" l="1"/>
  <c r="D3" i="27"/>
</calcChain>
</file>

<file path=xl/sharedStrings.xml><?xml version="1.0" encoding="utf-8"?>
<sst xmlns="http://schemas.openxmlformats.org/spreadsheetml/2006/main" count="1751" uniqueCount="1047">
  <si>
    <t>Group Lvl 1 Titles (Group)</t>
  </si>
  <si>
    <t xml:space="preserve">Sum # of Comments in Each Lvl 1 Group </t>
  </si>
  <si>
    <t>Group Lvl 2 Titles (Group Summary)</t>
  </si>
  <si>
    <t xml:space="preserve">Sum # of Comments in Each Lvl 2 Group </t>
  </si>
  <si>
    <t>Group Lvl 3 Titles (Area)</t>
  </si>
  <si>
    <t xml:space="preserve">Sum # of Comments in Each Lvl 3 Group </t>
  </si>
  <si>
    <t>Design</t>
  </si>
  <si>
    <t>Asthetic and feel</t>
  </si>
  <si>
    <t>Safety</t>
  </si>
  <si>
    <t>Feature</t>
  </si>
  <si>
    <t>Affordable</t>
  </si>
  <si>
    <t>Ease of use</t>
  </si>
  <si>
    <t>Functionality</t>
  </si>
  <si>
    <t>Learning</t>
  </si>
  <si>
    <t>Impact</t>
  </si>
  <si>
    <t>Exploration</t>
  </si>
  <si>
    <t>Engagement</t>
  </si>
  <si>
    <t>Total</t>
  </si>
  <si>
    <t>Use cases</t>
  </si>
  <si>
    <t>Priority</t>
  </si>
  <si>
    <t>User switches on the model</t>
  </si>
  <si>
    <t>H</t>
  </si>
  <si>
    <t>User provides network connectivity to the model</t>
  </si>
  <si>
    <t>User input the destination in a model</t>
  </si>
  <si>
    <t>User input the destination via voice command.</t>
  </si>
  <si>
    <t>L</t>
  </si>
  <si>
    <t>User wants to add an intermediate stop during journey</t>
  </si>
  <si>
    <t>M</t>
  </si>
  <si>
    <t>Geographic time is changed by user</t>
  </si>
  <si>
    <t>User uses system in heavy rainfall and floodlike situation.</t>
  </si>
  <si>
    <t>System avoids restricted routes</t>
  </si>
  <si>
    <t>System suggests best route option with minimum sun exposure</t>
  </si>
  <si>
    <t>System suggest alternate route options</t>
  </si>
  <si>
    <t>User follows the Navigation</t>
  </si>
  <si>
    <t>User selects alternate option</t>
  </si>
  <si>
    <t>User wants to set minimum sun tolerance</t>
  </si>
  <si>
    <t>User wants audio navigation.</t>
  </si>
  <si>
    <t>System adjust route as per cloud cover changes</t>
  </si>
  <si>
    <t>User wants to update the destination during the journey.</t>
  </si>
  <si>
    <t>User pauses navigation</t>
  </si>
  <si>
    <t>User turns off the navigation model.</t>
  </si>
  <si>
    <t>System uses offline data due to datacentre crash</t>
  </si>
  <si>
    <t>User provides power to the model</t>
  </si>
  <si>
    <t>System gets the data for route planning</t>
  </si>
  <si>
    <t>User exits the navigation</t>
  </si>
  <si>
    <t>System uses real time weather data</t>
  </si>
  <si>
    <t>System uses real time infrastructure data</t>
  </si>
  <si>
    <t>System uses real time sun position data</t>
  </si>
  <si>
    <t>System uses real time route data</t>
  </si>
  <si>
    <t>User turn off the model</t>
  </si>
  <si>
    <t>System displays planned route</t>
  </si>
  <si>
    <t>Initial Conditions</t>
  </si>
  <si>
    <t>1. The sytem is in navigation mode</t>
  </si>
  <si>
    <t>Operator (Driver)</t>
  </si>
  <si>
    <t>System (Route planner)</t>
  </si>
  <si>
    <t>User display</t>
  </si>
  <si>
    <t>Data centre</t>
  </si>
  <si>
    <t>The driver inputs the intermediate stop</t>
  </si>
  <si>
    <t>The system shall be able to accept MAX_STOPS stops</t>
  </si>
  <si>
    <t>The system shall be able to locate stops on map</t>
  </si>
  <si>
    <t>The user display will show marked stops on map window</t>
  </si>
  <si>
    <t>The driver will provide acceptance</t>
  </si>
  <si>
    <t>The system shall connect with remote data centre to access realtime infrastructure data</t>
  </si>
  <si>
    <t>Data centre will provide additional infrastructure data to the model</t>
  </si>
  <si>
    <t>The system shall connect with remote data centre to access realtime route data</t>
  </si>
  <si>
    <t>Data centre will provide additional route data to the model</t>
  </si>
  <si>
    <t>The system shall plan route from the data with minimum Online_Sun_Exposure_Limit percentage sun exposure.</t>
  </si>
  <si>
    <t>A planned route is displayed of the user display</t>
  </si>
  <si>
    <t>User starts the navigation</t>
  </si>
  <si>
    <t>Ending condition</t>
  </si>
  <si>
    <t>1. User follows navigation</t>
  </si>
  <si>
    <t>Note</t>
  </si>
  <si>
    <t>1. Assume model has continuous power supply.</t>
  </si>
  <si>
    <t>2. Assume user was able to access realtime data</t>
  </si>
  <si>
    <t>Initial Conditions :</t>
  </si>
  <si>
    <t>1. The sytem is switched on.</t>
  </si>
  <si>
    <t>The driver provides destination input.</t>
  </si>
  <si>
    <t>The system shall be able to locate the destination on map.</t>
  </si>
  <si>
    <t>The user display will show marked destination on map window.</t>
  </si>
  <si>
    <t>The system shall connect with remote data centre to access realtime sun position data</t>
  </si>
  <si>
    <t>Data centres will provide real-time sun-position data to the user.</t>
  </si>
  <si>
    <t>The system shall connect with remote data centre to access realtime weather data</t>
  </si>
  <si>
    <t>Data centres will provide real-time weather data to the user.</t>
  </si>
  <si>
    <t>Data centre will deny restricted area infrastructure data to the model</t>
  </si>
  <si>
    <t>Data centre will deny restricted area route data to the model</t>
  </si>
  <si>
    <t>The system shall provide alternate route to avoid restricted area.</t>
  </si>
  <si>
    <t>The system shall plan alternate route from the data with minimum Online_Sun_Exposure_Limit percentage sun exposure.</t>
  </si>
  <si>
    <t>Ending conditions :</t>
  </si>
  <si>
    <t>1. The system is switched to the navigation mode.</t>
  </si>
  <si>
    <t>2. The system is tracking the GPS location.</t>
  </si>
  <si>
    <t>The driver follows path suggested by navigation system</t>
  </si>
  <si>
    <t>The system shall update cloud coverage data.</t>
  </si>
  <si>
    <t>Data centre will provide updated cloud data.</t>
  </si>
  <si>
    <t>The system shall recalculate the planned route based on updated cloud coverage data.</t>
  </si>
  <si>
    <t>The system shall verify benefit of new route</t>
  </si>
  <si>
    <t>The user display will update driver about detour availability</t>
  </si>
  <si>
    <t>The system shall update navigation window with new route.</t>
  </si>
  <si>
    <t>The user display will show updated route.</t>
  </si>
  <si>
    <t>1. User follows new navigation</t>
  </si>
  <si>
    <t>3. The new route reduces the solar exposure significantly without significant increase in travel time.</t>
  </si>
  <si>
    <t>Index</t>
  </si>
  <si>
    <t>Originating Requirements</t>
  </si>
  <si>
    <t>Abstract Function Name</t>
  </si>
  <si>
    <t>OR.1</t>
  </si>
  <si>
    <t>Data storage</t>
  </si>
  <si>
    <t>OR.2</t>
  </si>
  <si>
    <t>A system shall detect destination input on map.</t>
  </si>
  <si>
    <t>Destination input</t>
  </si>
  <si>
    <t>OR.3</t>
  </si>
  <si>
    <t>Track GPS</t>
  </si>
  <si>
    <t>OR.4</t>
  </si>
  <si>
    <t>The system shall connect to remote data centre to retrive realtime sun position data</t>
  </si>
  <si>
    <t>Real-time Sun-position</t>
  </si>
  <si>
    <t>OR.5</t>
  </si>
  <si>
    <t>The system shall connect to remote data centre to retrive real-time infrastructure data</t>
  </si>
  <si>
    <t>Real-time infrastruicture</t>
  </si>
  <si>
    <t>OR.6</t>
  </si>
  <si>
    <t>The system shall connect to remote data centre to retrive realtime route data</t>
  </si>
  <si>
    <t>Real-time route</t>
  </si>
  <si>
    <t>OR.7</t>
  </si>
  <si>
    <t>The system shall connect to remote data centre to retrive realtime weather data</t>
  </si>
  <si>
    <t>Real-time weather</t>
  </si>
  <si>
    <t>OR.8</t>
  </si>
  <si>
    <t>A system shall notify user when operating in offline mode</t>
  </si>
  <si>
    <t>Notify offline mode</t>
  </si>
  <si>
    <t>OR.9</t>
  </si>
  <si>
    <t>A system shall update the route based on cloud coverage information in weather data.</t>
  </si>
  <si>
    <t>Route update</t>
  </si>
  <si>
    <t>OR.10</t>
  </si>
  <si>
    <t>The system shall allow user to add upto MAX_STOPS stops</t>
  </si>
  <si>
    <t>Add stops</t>
  </si>
  <si>
    <t>OR.11</t>
  </si>
  <si>
    <t>The system shall provide an alternate route to avoid restricted area.</t>
  </si>
  <si>
    <t>Avoid restricted area</t>
  </si>
  <si>
    <t>OR.12</t>
  </si>
  <si>
    <t>The system shall retrive offline weather data stored in the model when real-time weather data is unavailable.</t>
  </si>
  <si>
    <t>Offline weather</t>
  </si>
  <si>
    <t>OR.13</t>
  </si>
  <si>
    <t>The system shall retrive offline sun-position data stored in the model when real-time sun-position data is unavailable.</t>
  </si>
  <si>
    <t>Offline Sun-position</t>
  </si>
  <si>
    <t>OR.14</t>
  </si>
  <si>
    <t>The system shall retrive offline infrastructure data stored in the model when real-time infrastructure data is unavailable.</t>
  </si>
  <si>
    <t>Offline infrastruicture</t>
  </si>
  <si>
    <t>OR.15</t>
  </si>
  <si>
    <t>The system shall retrive offline route data stored in the model when real-time route data is unavailable.</t>
  </si>
  <si>
    <t>Offline route</t>
  </si>
  <si>
    <t>OR.16</t>
  </si>
  <si>
    <t>The system shall plan route with minimum Online_Sun_Exposure_Limit percentage sun exposure when using real-time data</t>
  </si>
  <si>
    <t>Real-time plan</t>
  </si>
  <si>
    <t>OR.17</t>
  </si>
  <si>
    <t>The system shall plan route with minimum Offline_Sun_Exposure_Limit percentage sun exposure when using offline data</t>
  </si>
  <si>
    <t>Offline plan</t>
  </si>
  <si>
    <t>OR.18</t>
  </si>
  <si>
    <t>The system shall detect stops on the map.</t>
  </si>
  <si>
    <t>Display stops</t>
  </si>
  <si>
    <t>OR.19</t>
  </si>
  <si>
    <t>The system shall plan an alternate route with minimum Online_Sun_Exposure_Limit percentage sun exposure when planning alternate route due to restricted areas.</t>
  </si>
  <si>
    <t>Alternate plan</t>
  </si>
  <si>
    <t>OR.20</t>
  </si>
  <si>
    <t>A system shall allow user to pause navigation</t>
  </si>
  <si>
    <t>Pause</t>
  </si>
  <si>
    <t>OR.21</t>
  </si>
  <si>
    <t>A system shall allow user to change destination during navigation.</t>
  </si>
  <si>
    <t>Update destination</t>
  </si>
  <si>
    <t>OR.22</t>
  </si>
  <si>
    <t>Cloud data update</t>
  </si>
  <si>
    <t>OR.23</t>
  </si>
  <si>
    <t>Recalculate route</t>
  </si>
  <si>
    <t>OR.24</t>
  </si>
  <si>
    <t>The system shall verify benefit of new route.</t>
  </si>
  <si>
    <t>Detour decision</t>
  </si>
  <si>
    <t>OR.25</t>
  </si>
  <si>
    <t>The system shall incorporate safety metrics, including traffic congestion, accident hotspots, and road conditions, in route planning.</t>
  </si>
  <si>
    <t>Safety metrics</t>
  </si>
  <si>
    <t>OR.26</t>
  </si>
  <si>
    <t>Update Navigation</t>
  </si>
  <si>
    <t>OR.27</t>
  </si>
  <si>
    <t>The system shall record and display sun exposure avoided for each trip.</t>
  </si>
  <si>
    <t>Record exposure data</t>
  </si>
  <si>
    <t>OR.28</t>
  </si>
  <si>
    <t>The system shall allow the user to set priorities for trade-offs between solar exposure and travel time.</t>
  </si>
  <si>
    <t>Modify Trade-off</t>
  </si>
  <si>
    <t>OR.29</t>
  </si>
  <si>
    <t>The system shall allow the user to modify default limits for sun exposure.</t>
  </si>
  <si>
    <t>Modify Limits</t>
  </si>
  <si>
    <t>OR.30</t>
  </si>
  <si>
    <t>The system shall warn the user if the configured sun exposure limit exceeds recommended healthy levels.</t>
  </si>
  <si>
    <t>Warn excess exposure</t>
  </si>
  <si>
    <t>OR.31</t>
  </si>
  <si>
    <t>The system shall power on upon user command.</t>
  </si>
  <si>
    <t xml:space="preserve">On </t>
  </si>
  <si>
    <t>OR.32</t>
  </si>
  <si>
    <t>The system shall power off upon user command.</t>
  </si>
  <si>
    <t>Off</t>
  </si>
  <si>
    <t>OR.33</t>
  </si>
  <si>
    <t>The system shall periodically update offline weather data every Weather_Update_Freq</t>
  </si>
  <si>
    <t>OR.34</t>
  </si>
  <si>
    <t>The system shall periodically update offline sun-position data every Sun_Update_Freq</t>
  </si>
  <si>
    <t>OR.35</t>
  </si>
  <si>
    <t>The system shall periodically update offline infrastructure data every Infra_Update_Freq</t>
  </si>
  <si>
    <t>OR.36</t>
  </si>
  <si>
    <t>The system shall periodically update offline route data every Route_Update_Freq</t>
  </si>
  <si>
    <t>OR.37</t>
  </si>
  <si>
    <t>The system shall provide voice-guided navigation to the user.</t>
  </si>
  <si>
    <t>Concept fragments</t>
  </si>
  <si>
    <t>Periodic data update at fixed interval</t>
  </si>
  <si>
    <t>Machine learning based route prediction (trained on sun exposure data)</t>
  </si>
  <si>
    <t>Threshold-based comparison (exposure &lt; current exposure, time increase &lt; 0.2×current time → suggest route)</t>
  </si>
  <si>
    <t>Event-driven data update (e.g., sudden cloud changes)</t>
  </si>
  <si>
    <t>Multi-objective function optimization (exposure vs time vs safety)</t>
  </si>
  <si>
    <t>Weighted cost comparison (α×exposure + β×time &gt; threshold → suggest route)</t>
  </si>
  <si>
    <t>Push notification from weather data center</t>
  </si>
  <si>
    <t>Predictive route simulation (using forecast data)</t>
  </si>
  <si>
    <t>User confirmation (ask user before suggesting route)</t>
  </si>
  <si>
    <t>Hybrid update (periodic + event-triggered)</t>
  </si>
  <si>
    <t>Adaptive recalculation (trigger only if updated data crosses threshold)</t>
  </si>
  <si>
    <t>Probabilistic risk assessment (evaluate likelihood of high exposure vs travel delay)</t>
  </si>
  <si>
    <t>Machine learning–based data update (predict next cloud coverage)</t>
  </si>
  <si>
    <t>Constraint-based route recalculation (consider user priorities &amp; safety metrics)</t>
  </si>
  <si>
    <t>Pareto front analysis (trade-off surface for multiple objectives)</t>
  </si>
  <si>
    <t>Waypoint-triggered update</t>
  </si>
  <si>
    <t>Real-time optimization using current GPS &amp; environmental data</t>
  </si>
  <si>
    <t>Exposure/time ratio evaluation (efficiency metric per route segment)</t>
  </si>
  <si>
    <t>Crowdsourced, smart city sensors data input</t>
  </si>
  <si>
    <t>Segment-level recalculation (recompute only affected portion of route)</t>
  </si>
  <si>
    <t>Adaptive interval update (update frequency changes based on environment variability)</t>
  </si>
  <si>
    <t>Scenario-based planning (simulate multiple route options)</t>
  </si>
  <si>
    <t>Sensor-triggered update (onboard light sensor, weather sensor)</t>
  </si>
  <si>
    <t>Solar weighted shortest distance algorithm(djkstra algorithm)</t>
  </si>
  <si>
    <t>Adaptive machine learning retraining (periodically improve prediction model)</t>
  </si>
  <si>
    <t>Notes</t>
  </si>
  <si>
    <t>Other data update methods have not been considered due to implementation complexity.</t>
  </si>
  <si>
    <t>Alternative route calculation methods were excluded because of lower accuracy and higher memory requirements.</t>
  </si>
  <si>
    <t>Other route verification approaches were not selected due to computational intensity.</t>
  </si>
  <si>
    <t>Concept Combination Table</t>
  </si>
  <si>
    <t>Combine concepts</t>
  </si>
  <si>
    <t>Route Update</t>
  </si>
  <si>
    <t>Periodic update, with multi function optimization verified using threashold based comparison</t>
  </si>
  <si>
    <t>Sensor triggered update with ML based route prediction, verified by user for offline use</t>
  </si>
  <si>
    <t>Waypoint triggered upadte with Djkstra based route planner verified using user</t>
  </si>
  <si>
    <t>Hrbrid update with adaptive recalculation verfied using weighted cost comparison</t>
  </si>
  <si>
    <t>User confirmation required for thrid combination since its segment based calculation</t>
  </si>
  <si>
    <t>Frequency of update is higher in fourth method hence automatic verification is suggested.</t>
  </si>
  <si>
    <t>Decision Matrix Construction</t>
  </si>
  <si>
    <t xml:space="preserve"> </t>
  </si>
  <si>
    <t>Decision matrix to assess better performing iteration of product.</t>
  </si>
  <si>
    <t>Steps 0 - 2</t>
  </si>
  <si>
    <t>First, always see what's already been done.</t>
  </si>
  <si>
    <t>Then begin creating your decision matrix.</t>
  </si>
  <si>
    <t>Values</t>
  </si>
  <si>
    <t>Criteria</t>
  </si>
  <si>
    <t>Iteration 2.1</t>
  </si>
  <si>
    <t>Iteration 2.2</t>
  </si>
  <si>
    <t>Iteration 2.3</t>
  </si>
  <si>
    <t>Description</t>
  </si>
  <si>
    <t xml:space="preserve">Sun Exposure </t>
  </si>
  <si>
    <t>Percentage of time driver was exposed to the sun</t>
  </si>
  <si>
    <t>Travel Time Increase</t>
  </si>
  <si>
    <t>Travel time increase from the shortest distance to destination</t>
  </si>
  <si>
    <t>Prediction accuracy -Online mode</t>
  </si>
  <si>
    <t>Sun exposure prediction accuracy when using realtime data</t>
  </si>
  <si>
    <t>Prediction accuracy -Ofline mode</t>
  </si>
  <si>
    <t>Sun exposure prediction accuracy when using offline data</t>
  </si>
  <si>
    <r>
      <rPr>
        <sz val="14"/>
        <color rgb="FF000000"/>
        <rFont val="Arial"/>
        <charset val="134"/>
      </rPr>
      <t>Response Time (</t>
    </r>
    <r>
      <rPr>
        <b/>
        <sz val="14"/>
        <color rgb="FF000000"/>
        <rFont val="Arial"/>
        <charset val="134"/>
      </rPr>
      <t>Human Centric design spirit metric</t>
    </r>
    <r>
      <rPr>
        <sz val="14"/>
        <color rgb="FF000000"/>
        <rFont val="Arial"/>
        <charset val="134"/>
      </rPr>
      <t>)</t>
    </r>
  </si>
  <si>
    <t>Time required to plan a route</t>
  </si>
  <si>
    <t>Battery Impact</t>
  </si>
  <si>
    <t>Baseline battery runtime - Runtime with feature activate</t>
  </si>
  <si>
    <t>Cost</t>
  </si>
  <si>
    <t>Time required to set the model by user.</t>
  </si>
  <si>
    <t>Score Totals</t>
  </si>
  <si>
    <t>Response Time Measurement Scale</t>
  </si>
  <si>
    <t>Score</t>
  </si>
  <si>
    <t>Scale Condition</t>
  </si>
  <si>
    <t>System suggest the route in &lt;2 seconds</t>
  </si>
  <si>
    <t>System suggest the route in 2-5 seconds</t>
  </si>
  <si>
    <t>System suggest the route in 5-8 seconds</t>
  </si>
  <si>
    <t>System suggest the route in 8-12 seconds</t>
  </si>
  <si>
    <t>System suggest the route in &gt;13 seconds</t>
  </si>
  <si>
    <t>Steps 3 - 4</t>
  </si>
  <si>
    <t>Min Value</t>
  </si>
  <si>
    <t>Max Value</t>
  </si>
  <si>
    <t>20min</t>
  </si>
  <si>
    <t>13 min</t>
  </si>
  <si>
    <t>9min</t>
  </si>
  <si>
    <t>30min</t>
  </si>
  <si>
    <t>Response Time</t>
  </si>
  <si>
    <t>10 s</t>
  </si>
  <si>
    <t>6s</t>
  </si>
  <si>
    <t>10s</t>
  </si>
  <si>
    <t>20s</t>
  </si>
  <si>
    <t>12hr</t>
  </si>
  <si>
    <t>10hr</t>
  </si>
  <si>
    <t>15 hr</t>
  </si>
  <si>
    <t>20hr</t>
  </si>
  <si>
    <t>$10/month</t>
  </si>
  <si>
    <t>$15 / month</t>
  </si>
  <si>
    <t>$9 / month</t>
  </si>
  <si>
    <t>$18 / month</t>
  </si>
  <si>
    <t>20 s</t>
  </si>
  <si>
    <t>21 s</t>
  </si>
  <si>
    <t>19 s</t>
  </si>
  <si>
    <t>60s</t>
  </si>
  <si>
    <t>Step 5</t>
  </si>
  <si>
    <t>Normalized Values</t>
  </si>
  <si>
    <t>Option A</t>
  </si>
  <si>
    <t>Option B</t>
  </si>
  <si>
    <t>Option C</t>
  </si>
  <si>
    <t>13 min%</t>
  </si>
  <si>
    <t>Normalization Methods</t>
  </si>
  <si>
    <t>Method 2: If smaller is better do the same as in method 1 but then subtract your answer from 1</t>
  </si>
  <si>
    <t>Convert Units</t>
  </si>
  <si>
    <t>Largest Option value =</t>
  </si>
  <si>
    <t>Normalized scores</t>
  </si>
  <si>
    <t>Divide by Largest Value</t>
  </si>
  <si>
    <t>Method 3: Compare to a baseline value</t>
  </si>
  <si>
    <t>Set a Base Line weight =</t>
  </si>
  <si>
    <t>Calculate differences from the base line for each option</t>
  </si>
  <si>
    <t>Determine the allowable range of variation from the baseline based on stakeholder needs (here we'll use a maximum absolute difference = 5)</t>
  </si>
  <si>
    <t>Range size is twice the maximum absolute difference, so the range size =</t>
  </si>
  <si>
    <t xml:space="preserve">Divide by the range size </t>
  </si>
  <si>
    <t>Add 0.5 to shift the scale (was a -0.5 to 0.5 scale , now it is a 0 to 1 scale)</t>
  </si>
  <si>
    <t>In this example, lower weight is better, so then subtract each option score from 1</t>
  </si>
  <si>
    <t>Method 4: Come up with a ranking system like what was done to measure Graphics Performance</t>
  </si>
  <si>
    <t>Normalized Score Levels</t>
  </si>
  <si>
    <t>Scale Conditions</t>
  </si>
  <si>
    <t>Method 2: If smaller is better do the same as in Method 1 but then subtract your answer from 1</t>
  </si>
  <si>
    <t>Divide by Largest Option value</t>
  </si>
  <si>
    <t>In this example, lower cost is better, so subtract each option score from 1</t>
  </si>
  <si>
    <t>Sun Exposure Reduction (%)</t>
  </si>
  <si>
    <t>Travel Time Increase (min)</t>
  </si>
  <si>
    <t>Prediction accuracy -Online mode (%)</t>
  </si>
  <si>
    <t>Percentages are often simply converted to 0-1</t>
  </si>
  <si>
    <t>Prediction accuracy -Ofline mode (%)</t>
  </si>
  <si>
    <t>Response Time (s)</t>
  </si>
  <si>
    <t>Method 4: Come up with a ranking system</t>
  </si>
  <si>
    <t>Battery Impact (hr)</t>
  </si>
  <si>
    <t>Cost (dollars/month)</t>
  </si>
  <si>
    <t>Ease of use (s)</t>
  </si>
  <si>
    <t>Step 6</t>
  </si>
  <si>
    <t>Weight</t>
  </si>
  <si>
    <t>Weighting Examples</t>
  </si>
  <si>
    <t>Give a Score Multiplier for Each Criterion Along a the Same Scale (maybe 0-1, or 1-5, or 1-3, or 1-10), All Criteria &amp; Options Treated Independently</t>
  </si>
  <si>
    <t>Give a Score Multiplier for Each Criterion such that the Weight Column Sums to 1</t>
  </si>
  <si>
    <t xml:space="preserve"> Sum to check for 100%</t>
  </si>
  <si>
    <t>Step 7</t>
  </si>
  <si>
    <t>Final Score = Sum(Rating * Weight)    or    Sum(Normalized Value * Weight)</t>
  </si>
  <si>
    <t>Reject any Options that violate the min value, max value, or min rating thresholds</t>
  </si>
  <si>
    <t>Final Scores</t>
  </si>
  <si>
    <t>Human Centric Design Spirit Metric</t>
  </si>
  <si>
    <t>Step 8</t>
  </si>
  <si>
    <t>Comparing Final Score Results</t>
  </si>
  <si>
    <t>Consider only those within x% (commonly 10%) of the top score</t>
  </si>
  <si>
    <t>Top Score</t>
  </si>
  <si>
    <t>10% of Top Score</t>
  </si>
  <si>
    <t>Consider Options with Scores of this or higher</t>
  </si>
  <si>
    <t>highest to lowest</t>
  </si>
  <si>
    <t>Graph</t>
  </si>
  <si>
    <r>
      <rPr>
        <b/>
        <sz val="14"/>
        <rFont val="Arial"/>
        <charset val="134"/>
      </rPr>
      <t xml:space="preserve">Plot the results by Final Score and look for a </t>
    </r>
    <r>
      <rPr>
        <b/>
        <i/>
        <sz val="14"/>
        <rFont val="Arial"/>
        <charset val="134"/>
      </rPr>
      <t>kink</t>
    </r>
    <r>
      <rPr>
        <b/>
        <sz val="14"/>
        <rFont val="Arial"/>
        <charset val="134"/>
      </rPr>
      <t xml:space="preserve">or </t>
    </r>
    <r>
      <rPr>
        <b/>
        <i/>
        <sz val="14"/>
        <rFont val="Arial"/>
        <charset val="134"/>
      </rPr>
      <t>drop-off</t>
    </r>
    <r>
      <rPr>
        <b/>
        <sz val="14"/>
        <rFont val="Arial"/>
        <charset val="134"/>
      </rPr>
      <t xml:space="preserve"> in the scores.</t>
    </r>
  </si>
  <si>
    <t>Iteration</t>
  </si>
  <si>
    <t>Normalised Score</t>
  </si>
  <si>
    <t>Sr.No</t>
  </si>
  <si>
    <t xml:space="preserve">Goals </t>
  </si>
  <si>
    <t>Questions</t>
  </si>
  <si>
    <t>Ideal Metric</t>
  </si>
  <si>
    <t>Approximate Metric</t>
  </si>
  <si>
    <t>Data collection method</t>
  </si>
  <si>
    <t>Make model to reduce sun exposure as much as possible</t>
  </si>
  <si>
    <t>What is medically recommended duration of daily sun exposure for different user profiles? (e.g skin type, UV index)</t>
  </si>
  <si>
    <t>Recommended sun exposure (in minutes) for different skin types for standard UV index.</t>
  </si>
  <si>
    <t>General exposure time range across moderate UV levels for average skin types.</t>
  </si>
  <si>
    <t>Literature review from health agencies like WHO, dermatology associations.</t>
  </si>
  <si>
    <t>What is average drive time per user?</t>
  </si>
  <si>
    <t>Total travel during the day</t>
  </si>
  <si>
    <t>Travel time for just the major drives like going to office college.</t>
  </si>
  <si>
    <t>For few cities and rural areas contact major institutions like offices and colleges to know from how long those people travel everyday to reach there and use google maps to know the time to tarvel'</t>
  </si>
  <si>
    <t>What proportion of urban and rural area is typically under natural or artificial shade?</t>
  </si>
  <si>
    <t>percentage of shade available at different locations for specific times of the day.</t>
  </si>
  <si>
    <t>Percentage of shade available for given season of the year and within specific time zone</t>
  </si>
  <si>
    <t>Analysis in digital twin for refernce cities and rural areas ensuring at least one urban and one rural model across different demographics.</t>
  </si>
  <si>
    <t>Make response time of model as low as possible</t>
  </si>
  <si>
    <t>What is the acceptable system response time for generating route plan for this application context?</t>
  </si>
  <si>
    <t>Route planning time recorded when user exits specifically because of the delay in the route planning</t>
  </si>
  <si>
    <t>Route planning time recorded when user exits midway for any reason during route planning</t>
  </si>
  <si>
    <t>System logging of route generation times and user exit data for every interation.</t>
  </si>
  <si>
    <t>How do competitors handle larger response time in similar applications?</t>
  </si>
  <si>
    <t>Benchmark average route planning times for comparable navigation applications</t>
  </si>
  <si>
    <t>Publicly reported response benchmarks from technical reports or user experience studies</t>
  </si>
  <si>
    <t>Market and benchmarking analysis through published papers, app reviews, and performance tests</t>
  </si>
  <si>
    <t>Maintain the prediction accuracy of model in offline mode</t>
  </si>
  <si>
    <t>How accurate are cloud coverage forecast in offline mode?</t>
  </si>
  <si>
    <t>Compare data between predicted and actual clod coverage data.</t>
  </si>
  <si>
    <t>Historical deviation between forcast and observed cloud coverage data.</t>
  </si>
  <si>
    <t>Weather API results vs. satellite observation datasets for past.</t>
  </si>
  <si>
    <t>How often do users use the app in offline mode?</t>
  </si>
  <si>
    <t>Average percentage of time the app is used offline per user</t>
  </si>
  <si>
    <t>Frequency of offline usage per month</t>
  </si>
  <si>
    <t xml:space="preserve">Application analytics and usage logging </t>
  </si>
  <si>
    <t>How frequently should offline data be updated?</t>
  </si>
  <si>
    <t>Optimal update interval (days/weeks) that minimizes forecast error while conserving resources</t>
  </si>
  <si>
    <t>Average interval yielding minimal accuracy loss</t>
  </si>
  <si>
    <t>Simulation testing of data freshness vs. prediction error over varying update intervals in digital twin environment</t>
  </si>
  <si>
    <t>Maintain the prediction accuracy of model in online mode</t>
  </si>
  <si>
    <t>Make model easy to use</t>
  </si>
  <si>
    <t>Reduce the battery impact of model</t>
  </si>
  <si>
    <t>Make model easy to install</t>
  </si>
  <si>
    <t>Reduced the increase in travel time for model</t>
  </si>
  <si>
    <t>Make model to realtime adapt with changes in cloud coverage</t>
  </si>
  <si>
    <t>Ensure privacy and data security of user</t>
  </si>
  <si>
    <t>Optimise the model performance</t>
  </si>
  <si>
    <t>Improve the model reliability</t>
  </si>
  <si>
    <t xml:space="preserve">Enhance the user experience </t>
  </si>
  <si>
    <t>Ensure model safety and security</t>
  </si>
  <si>
    <t>Enhance the computational performance of model</t>
  </si>
  <si>
    <t>Enhance the functional poerformance of model</t>
  </si>
  <si>
    <t>Optimize CPU/GPU usage</t>
  </si>
  <si>
    <t>Project Title: SunShield Route Planner</t>
  </si>
  <si>
    <t>Developed by : Janhavi Gaikwad</t>
  </si>
  <si>
    <t>↑</t>
  </si>
  <si>
    <t>Weather data update frequency</t>
  </si>
  <si>
    <t>Planning algorithm eexcution time</t>
  </si>
  <si>
    <t>Last Updated : 6/10/2025</t>
  </si>
  <si>
    <t>0/2</t>
  </si>
  <si>
    <t xml:space="preserve">Data access speed </t>
  </si>
  <si>
    <t>Spped of updating data in realtime</t>
  </si>
  <si>
    <t>GPU capacity</t>
  </si>
  <si>
    <t>CPU processing power</t>
  </si>
  <si>
    <t>0/1</t>
  </si>
  <si>
    <t>Memory size</t>
  </si>
  <si>
    <t>Relationships</t>
  </si>
  <si>
    <t>Offline storage capacity</t>
  </si>
  <si>
    <t>Strong Positive</t>
  </si>
  <si>
    <t>-1/2</t>
  </si>
  <si>
    <t>1/0</t>
  </si>
  <si>
    <t>Network interface quality (For realtimne update)</t>
  </si>
  <si>
    <t>Positive</t>
  </si>
  <si>
    <t>2/0</t>
  </si>
  <si>
    <t xml:space="preserve">Screen refresh rate </t>
  </si>
  <si>
    <t>Neutral, Not Applicable</t>
  </si>
  <si>
    <t>↓</t>
  </si>
  <si>
    <t>Server data download time</t>
  </si>
  <si>
    <t>Negative</t>
  </si>
  <si>
    <t>GPS accuracy</t>
  </si>
  <si>
    <t>Strong Negative</t>
  </si>
  <si>
    <t>Infrastructure data accuracy</t>
  </si>
  <si>
    <t>Sun position data accuracy</t>
  </si>
  <si>
    <t>Weather data accuracy</t>
  </si>
  <si>
    <t>1/0'</t>
  </si>
  <si>
    <t>Multi objective optimization algorithm efficiency</t>
  </si>
  <si>
    <t>ID</t>
  </si>
  <si>
    <t>Engineering Characteristics</t>
  </si>
  <si>
    <t>Relative Importance</t>
  </si>
  <si>
    <t>Speed of updating data in realtime</t>
  </si>
  <si>
    <t>Customer Perception / Performance Scores</t>
  </si>
  <si>
    <t>Performance Criteria (or Measures) / Customer Attributes</t>
  </si>
  <si>
    <t>Direction of Change   ↑  ↓</t>
  </si>
  <si>
    <t>Normalized &amp; Unweighted</t>
  </si>
  <si>
    <t>Normalized &amp; Weighted</t>
  </si>
  <si>
    <t>Normalisation method</t>
  </si>
  <si>
    <t>Full Attribute/Goal/Add'l Info</t>
  </si>
  <si>
    <t>Short Name</t>
  </si>
  <si>
    <t>A(low)</t>
  </si>
  <si>
    <t>A(high)</t>
  </si>
  <si>
    <t>A(target)</t>
  </si>
  <si>
    <t>B</t>
  </si>
  <si>
    <t>C</t>
  </si>
  <si>
    <t>D</t>
  </si>
  <si>
    <t>E</t>
  </si>
  <si>
    <t>F</t>
  </si>
  <si>
    <t>Minimize Sun Exposure</t>
  </si>
  <si>
    <t>Combine sun exposure , travel time weightaige as per user preference)</t>
  </si>
  <si>
    <t>Multi-Criteria Routing</t>
  </si>
  <si>
    <t>Percentage</t>
  </si>
  <si>
    <t>Minimize Extra Travel Time</t>
  </si>
  <si>
    <t>Realtime adaptation of new routes based on new data</t>
  </si>
  <si>
    <t>Real-Time Route Adaptation</t>
  </si>
  <si>
    <t>Method 1: Take the largest value and divide all values by that</t>
  </si>
  <si>
    <t>Offline Prediction Accuracy</t>
  </si>
  <si>
    <t>Online Prediction Accuracy</t>
  </si>
  <si>
    <t>Fast Route Planning</t>
  </si>
  <si>
    <t>Enhanced User Experience</t>
  </si>
  <si>
    <t>How well system adapt to individual user preference</t>
  </si>
  <si>
    <t>Personalized Routing</t>
  </si>
  <si>
    <t>Low CPU/GPU Usage</t>
  </si>
  <si>
    <t>Low Battery Consumption</t>
  </si>
  <si>
    <t>Privacy &amp; Data Security</t>
  </si>
  <si>
    <t>Profit Margin</t>
  </si>
  <si>
    <t>Competitor Legend</t>
  </si>
  <si>
    <t>Measurement Units</t>
  </si>
  <si>
    <t>1/min</t>
  </si>
  <si>
    <t>s</t>
  </si>
  <si>
    <t>GB</t>
  </si>
  <si>
    <t>GHz</t>
  </si>
  <si>
    <t>MB</t>
  </si>
  <si>
    <t>TB</t>
  </si>
  <si>
    <t>Mbps</t>
  </si>
  <si>
    <t>Hz</t>
  </si>
  <si>
    <t>m</t>
  </si>
  <si>
    <t>Degrees</t>
  </si>
  <si>
    <t>%</t>
  </si>
  <si>
    <t>Google Maps</t>
  </si>
  <si>
    <t>Sun Quest</t>
  </si>
  <si>
    <t>Parasol</t>
  </si>
  <si>
    <t>Cool Walks</t>
  </si>
  <si>
    <t>SunSmart Global UV App</t>
  </si>
  <si>
    <t>(External) Requirement Thresholds</t>
  </si>
  <si>
    <t>N.A</t>
  </si>
  <si>
    <t>Targets</t>
  </si>
  <si>
    <t>Imputed Importance</t>
  </si>
  <si>
    <t>Positive Imputed Importance</t>
  </si>
  <si>
    <t>Negative Imputed Importance</t>
  </si>
  <si>
    <t>Technical Difficulty (1 Low, 5 High)</t>
  </si>
  <si>
    <t>Estimated Cost (1 Low, 5 High)</t>
  </si>
  <si>
    <t>Timeline</t>
  </si>
  <si>
    <t>Task</t>
  </si>
  <si>
    <t>Start</t>
  </si>
  <si>
    <t>End</t>
  </si>
  <si>
    <t>Deliverables</t>
  </si>
  <si>
    <t>Testing of shadow model on arbitrary geometry</t>
  </si>
  <si>
    <t>The system shall process and update rel time data with maximum latency of 500ms/s</t>
  </si>
  <si>
    <t>The system shall operate without exceeding 80% of available system memory or CPU usage during route calculation</t>
  </si>
  <si>
    <t>The system shall maintain a minimum data synchronization speed of 50kbps for download under poor internet connectivity</t>
  </si>
  <si>
    <t>The system shall shall maintain a minimum data synchronization speed of 3Mbps for download under good internet connectivity</t>
  </si>
  <si>
    <t>OR.38</t>
  </si>
  <si>
    <t>OR.39</t>
  </si>
  <si>
    <t>OR.40</t>
  </si>
  <si>
    <t>OR.41</t>
  </si>
  <si>
    <t>OR.42</t>
  </si>
  <si>
    <t>The system shall track its GPS location with 1Hz.</t>
  </si>
  <si>
    <t>The system shall not store offline data more than 1GB</t>
  </si>
  <si>
    <t>OR.43</t>
  </si>
  <si>
    <t>The system shall achieve 23% of sun exposure reduction than popular routes</t>
  </si>
  <si>
    <t>User interaction and model management system</t>
  </si>
  <si>
    <t>Data management system</t>
  </si>
  <si>
    <t>Route planning system</t>
  </si>
  <si>
    <t>Navigation execution system</t>
  </si>
  <si>
    <t>OR.2 A system shall detect destination input on map.</t>
  </si>
  <si>
    <t>OR.3 The system shall track its GPS location constantly.</t>
  </si>
  <si>
    <t>OR.9 A system shall update the route based on cloud coverage information in weather data.</t>
  </si>
  <si>
    <t>Touch interaction</t>
  </si>
  <si>
    <t>Onboard GPS receiver</t>
  </si>
  <si>
    <t>OR.11 The system shall provide an alternate route to avoid restricted area.</t>
  </si>
  <si>
    <t>Search based input</t>
  </si>
  <si>
    <t>Combine GPS with internal measurement unit</t>
  </si>
  <si>
    <t>OR.16 The system shall plan route with minimum Online_Sun_Exposure_Limit percentage sun exposure when using real-time data</t>
  </si>
  <si>
    <t>OR.10 The system shall allow user to add upto MAX_STOPS stops</t>
  </si>
  <si>
    <t>OR.4 The system shall connect to remote data centre to retrive realtime sun position data</t>
  </si>
  <si>
    <t>OR.17 The system shall plan route with minimum Offline_Sun_Exposure_Limit percentage sun exposure when using offline data</t>
  </si>
  <si>
    <t>OR.26 The system shall update navigation window with new route.</t>
  </si>
  <si>
    <t>OR.18 The system shall detect stops on the map.</t>
  </si>
  <si>
    <t>send a query to server with GPS location and time to retrive all relevant data(azimuth, elevation,maybe irradiance)</t>
  </si>
  <si>
    <t>OR.19 The system shall plan an alternate route with minimum Online_Sun_Exposure_Limit percentage sun exposure when planning alternate route due to restricted areas.</t>
  </si>
  <si>
    <t>OR.20 A system shall allow user to pause navigation</t>
  </si>
  <si>
    <t>Retrive only essential parameters (sun elevation and azimuth)</t>
  </si>
  <si>
    <t>OR.23 The system shall recalculate the planned route based on updated cloud coverage data.</t>
  </si>
  <si>
    <t>OR.5 The system shall connect to remote data centre to retrive real-time infrastructure data</t>
  </si>
  <si>
    <t>OR.21 A system shall allow user to change destination during navigation.</t>
  </si>
  <si>
    <t>Maintain local cahe of infrastructure and upodate deltas</t>
  </si>
  <si>
    <t>Request essential information relevant to current start and destination</t>
  </si>
  <si>
    <t>OR.28 The system shall allow the user to set priorities for trade-offs between solar exposure and travel time.</t>
  </si>
  <si>
    <t>OR.6 The system shall connect to remote data centre to retrive realtime route data</t>
  </si>
  <si>
    <t>OR.29 The system shall allow the user to modify default limits for sun exposure.</t>
  </si>
  <si>
    <t>Request complete route data for a city</t>
  </si>
  <si>
    <t>OR.25 The system shall incorporate safety metrics, including traffic congestion, accident hotspots, and road conditions, in route planning.</t>
  </si>
  <si>
    <t>OR.30 The system shall warn the user if the configured sun exposure limit exceeds recommended healthy levels.</t>
  </si>
  <si>
    <t>Maintain local route plan and request only changes(due to traffic, closure)</t>
  </si>
  <si>
    <t>OR.24 The system shall verify benefit of new route.</t>
  </si>
  <si>
    <t>OR.27 The system shall record and display sun exposure avoided for each trip.</t>
  </si>
  <si>
    <t>OR.7 The system shall connect to remote data centre to retrive realtime weather data</t>
  </si>
  <si>
    <t>OR.31 The system shall power on upon user command.</t>
  </si>
  <si>
    <t>Request only the weather parameter needed.(sunlight,cloud coverage, precipitation)</t>
  </si>
  <si>
    <t>OR.32 The system shall power off upon user command.</t>
  </si>
  <si>
    <t>Maintain catched copy of local data request realtime update for immediate area.</t>
  </si>
  <si>
    <t>OR.22 The system shall update cloud coverage data.</t>
  </si>
  <si>
    <t>OR.8 A system shall notify user when operating in offline mode</t>
  </si>
  <si>
    <t>Visual Notification</t>
  </si>
  <si>
    <t>Audible alert</t>
  </si>
  <si>
    <t>Combined notification</t>
  </si>
  <si>
    <t>OR.12 The system shall retrive offline weather data stored in the model when real-time weather data is unavailable.</t>
  </si>
  <si>
    <t>Fetch more recently stored weather data</t>
  </si>
  <si>
    <t>Retrive only required weather parameters</t>
  </si>
  <si>
    <t>OR.13 The system shall retrive offline sun-position data stored in the model when real-time sun-position data is unavailable.</t>
  </si>
  <si>
    <t>Fetch more recently stored sun-position data</t>
  </si>
  <si>
    <t>Retrive only required sun-position parameters</t>
  </si>
  <si>
    <t>OR.14 The system shall retrive offline infrastructure data stored in the model when real-time infrastructure data is unavailable.</t>
  </si>
  <si>
    <t>Retrive only required infrastructure data</t>
  </si>
  <si>
    <t>OR.15 The system shall retrive offline route data stored in the model when real-time route data is unavailable.</t>
  </si>
  <si>
    <t>Retrive only critical elements</t>
  </si>
  <si>
    <t>OR.33 The system shall periodically update offline weather data every Weather_Update_Freq</t>
  </si>
  <si>
    <t>OR.34 The system shall periodically update offline sun-position data every Sun_Update_Freq</t>
  </si>
  <si>
    <t>OR.35 The system shall periodically update offline infrastructure data every Infra_Update_Freq</t>
  </si>
  <si>
    <t>OR.36 The system shall periodically update offline route data every Route_Update_Freq</t>
  </si>
  <si>
    <t>Model management and UI</t>
  </si>
  <si>
    <t>Route planner</t>
  </si>
  <si>
    <t>Data Management</t>
  </si>
  <si>
    <t>Navigation</t>
  </si>
  <si>
    <t>State</t>
  </si>
  <si>
    <t>Timing Target</t>
  </si>
  <si>
    <t>Online, Moving, Standby,Navigation</t>
  </si>
  <si>
    <t>Online, Moving, 
Data Acquisation,Navigation</t>
  </si>
  <si>
    <t>Info even("Current GPS Location")</t>
  </si>
  <si>
    <r>
      <rPr>
        <sz val="11"/>
        <color theme="1"/>
        <rFont val="Calibri"/>
        <family val="2"/>
      </rPr>
      <t xml:space="preserve">Data centre will provide updated cloud data. 
</t>
    </r>
    <r>
      <rPr>
        <b/>
        <sz val="11"/>
        <color theme="1"/>
        <rFont val="Calibri"/>
        <family val="2"/>
      </rPr>
      <t xml:space="preserve">-Available </t>
    </r>
    <r>
      <rPr>
        <sz val="11"/>
        <color theme="1"/>
        <rFont val="Calibri"/>
        <family val="2"/>
      </rPr>
      <t xml:space="preserve">
-Unavailable(Inform user)</t>
    </r>
  </si>
  <si>
    <t>Info event("Data is available")</t>
  </si>
  <si>
    <r>
      <rPr>
        <sz val="11"/>
        <color theme="1"/>
        <rFont val="Calibri"/>
        <family val="2"/>
      </rPr>
      <t xml:space="preserve">The system shall determine whether to recalculate the route based on CHANGE_WEATHER % .
</t>
    </r>
    <r>
      <rPr>
        <b/>
        <sz val="11"/>
        <color theme="1"/>
        <rFont val="Calibri"/>
        <family val="2"/>
      </rPr>
      <t>-Recalculate</t>
    </r>
    <r>
      <rPr>
        <sz val="11"/>
        <color theme="1"/>
        <rFont val="Calibri"/>
        <family val="2"/>
      </rPr>
      <t xml:space="preserve">
-Do not calculate</t>
    </r>
  </si>
  <si>
    <t>Infor event ("Recalculate the route")</t>
  </si>
  <si>
    <t>Online, Moving, 
Calculate ,Navigation</t>
  </si>
  <si>
    <r>
      <rPr>
        <sz val="11"/>
        <color theme="1"/>
        <rFont val="Calibri"/>
        <family val="2"/>
      </rPr>
      <t xml:space="preserve">The system shall verify benefit of new route.
</t>
    </r>
    <r>
      <rPr>
        <b/>
        <sz val="11"/>
        <color theme="1"/>
        <rFont val="Calibri"/>
        <family val="2"/>
      </rPr>
      <t>-Efficient route</t>
    </r>
    <r>
      <rPr>
        <sz val="11"/>
        <color theme="1"/>
        <rFont val="Calibri"/>
        <family val="2"/>
      </rPr>
      <t xml:space="preserve">
-Inefficient route (Do not suggest user)</t>
    </r>
  </si>
  <si>
    <t>Info Event("New route is more efficient")</t>
  </si>
  <si>
    <t>Online, Moving, 
Standby ,Pause Navigation</t>
  </si>
  <si>
    <t>The driver will provide acceptance
-Acceptance
-Rejection</t>
  </si>
  <si>
    <t>InfoEvent("Driver accepted new route")</t>
  </si>
  <si>
    <t>Online, Moving, 
Standby ,Navigation</t>
  </si>
  <si>
    <t>Info Event("Additional stops")</t>
  </si>
  <si>
    <r>
      <rPr>
        <sz val="11"/>
        <color theme="1"/>
        <rFont val="Calibri"/>
        <family val="2"/>
      </rPr>
      <t xml:space="preserve">The driver will confirm syops
</t>
    </r>
    <r>
      <rPr>
        <b/>
        <sz val="11"/>
        <color theme="1"/>
        <rFont val="Calibri"/>
        <family val="2"/>
      </rPr>
      <t>-Accepted for route calculation</t>
    </r>
    <r>
      <rPr>
        <sz val="11"/>
        <color theme="1"/>
        <rFont val="Calibri"/>
        <family val="2"/>
      </rPr>
      <t xml:space="preserve">
-Not accepted for route calculation (Enter stops again)</t>
    </r>
  </si>
  <si>
    <t>Info Event("User confirmed the stops")</t>
  </si>
  <si>
    <t>Online, Moving, 
Data Acquisation ,Navigation</t>
  </si>
  <si>
    <t>InfoEvent("Additional stops and Current GPS)</t>
  </si>
  <si>
    <r>
      <rPr>
        <sz val="11"/>
        <color theme="1"/>
        <rFont val="Calibri"/>
        <family val="2"/>
      </rPr>
      <t xml:space="preserve">Data centre will provide additional infrastructure data to the model
</t>
    </r>
    <r>
      <rPr>
        <b/>
        <sz val="11"/>
        <color theme="1"/>
        <rFont val="Calibri"/>
        <family val="2"/>
      </rPr>
      <t>-Available</t>
    </r>
    <r>
      <rPr>
        <sz val="11"/>
        <color theme="1"/>
        <rFont val="Calibri"/>
        <family val="2"/>
      </rPr>
      <t xml:space="preserve">
-Unavailable (Inform user)</t>
    </r>
  </si>
  <si>
    <t>Info Event ("Infrastructure data is available")</t>
  </si>
  <si>
    <t>Data centre will provide additional route data to the model.
-Available
-Unavailable (Inform user)</t>
  </si>
  <si>
    <t>Info Event ("Route data is available")</t>
  </si>
  <si>
    <t>Interface Matrix Excerpt : Data Management Subsystem Sheet</t>
  </si>
  <si>
    <t xml:space="preserve">User interaction and model management </t>
  </si>
  <si>
    <t>Value</t>
  </si>
  <si>
    <t>Units</t>
  </si>
  <si>
    <t>Estimate?</t>
  </si>
  <si>
    <t>Last Updated</t>
  </si>
  <si>
    <t>Last Updated By</t>
  </si>
  <si>
    <t>Interface Champ.</t>
  </si>
  <si>
    <t>Est. Update Due Date</t>
  </si>
  <si>
    <t>Actual Due Date</t>
  </si>
  <si>
    <t>Row #</t>
  </si>
  <si>
    <t xml:space="preserve">Data Management </t>
  </si>
  <si>
    <t>Received from</t>
  </si>
  <si>
    <t>Degrees/minutes/seconds</t>
  </si>
  <si>
    <t>Joey</t>
  </si>
  <si>
    <t>Janhavi</t>
  </si>
  <si>
    <t>Destination</t>
  </si>
  <si>
    <t>N/A</t>
  </si>
  <si>
    <t>Number of stops</t>
  </si>
  <si>
    <t>Stop locations</t>
  </si>
  <si>
    <t>Provided to</t>
  </si>
  <si>
    <t>KB</t>
  </si>
  <si>
    <t>Ross</t>
  </si>
  <si>
    <t>Maximum data request size</t>
  </si>
  <si>
    <t>km</t>
  </si>
  <si>
    <t>Geographic scope for realtime data</t>
  </si>
  <si>
    <t>Rachel</t>
  </si>
  <si>
    <t>Real time data capacity at time</t>
  </si>
  <si>
    <t>ms/s</t>
  </si>
  <si>
    <t>15/10/2025</t>
  </si>
  <si>
    <t>Realtime data latency</t>
  </si>
  <si>
    <t>Maximum latency tolerance</t>
  </si>
  <si>
    <t>Pheobe</t>
  </si>
  <si>
    <t>Geographic scope for offline storage</t>
  </si>
  <si>
    <t>Offline data storage capacity</t>
  </si>
  <si>
    <t>days</t>
  </si>
  <si>
    <t>Chandler</t>
  </si>
  <si>
    <t>Offline weather forecast data update frequency</t>
  </si>
  <si>
    <t>month</t>
  </si>
  <si>
    <t>Offline route forecast data update frequency</t>
  </si>
  <si>
    <t>Offline sun-position forecast data update frequency</t>
  </si>
  <si>
    <t>months</t>
  </si>
  <si>
    <t>Monica</t>
  </si>
  <si>
    <t>Offline infrastructure forecast data update frequency</t>
  </si>
  <si>
    <t>min</t>
  </si>
  <si>
    <t>Realtime weather data update frequency</t>
  </si>
  <si>
    <t>boolen</t>
  </si>
  <si>
    <t>Connection status to datacentre</t>
  </si>
  <si>
    <t>Count of failed requests</t>
  </si>
  <si>
    <t>Received From</t>
  </si>
  <si>
    <t>Criteria for updating weather data</t>
  </si>
  <si>
    <t>Max RAM</t>
  </si>
  <si>
    <t>Copyright © 2019 eCornell. All rights reserved. All other copyrights, trademarks, trade names, and logos are the sole property of their respective owners.</t>
  </si>
  <si>
    <t>Test Number</t>
  </si>
  <si>
    <t>Test Method</t>
  </si>
  <si>
    <t>Test facilities</t>
  </si>
  <si>
    <t>Entry Condition</t>
  </si>
  <si>
    <t>Exit Condition</t>
  </si>
  <si>
    <t>Theme</t>
  </si>
  <si>
    <t>TP.1</t>
  </si>
  <si>
    <t>Test procedure: Model plans route with online data</t>
  </si>
  <si>
    <t>Model prototype, Good internet connection</t>
  </si>
  <si>
    <t>Prototype for online planner subsystem and data management subsystem is ready and integrated in digital twin.</t>
  </si>
  <si>
    <t>Online model suggest a route with accurate estimate of sun-exposure reduction and travel time with 90% of accuracy</t>
  </si>
  <si>
    <t>Critical feature</t>
  </si>
  <si>
    <t>TP.2</t>
  </si>
  <si>
    <t>Test procedure: Model plans route with offline data</t>
  </si>
  <si>
    <t>Model prototype , Offline data</t>
  </si>
  <si>
    <t>Prototype for offline planner subsystem and offline data management subsystem is readyand integrated in digital twin.</t>
  </si>
  <si>
    <t>Offline model suggest a route with accurate estimate of sun-exposure reduction and travel time with 87% of accuracy</t>
  </si>
  <si>
    <t>Address largest uncertinity</t>
  </si>
  <si>
    <t>TP.3</t>
  </si>
  <si>
    <t>Test Procedure : Model replans route during navigation as per updated weather condition</t>
  </si>
  <si>
    <t>Prototype for replanner subsystem and data management subsystem is ready and integrated in digital twin.</t>
  </si>
  <si>
    <t>In scenarios where rerouting options were available, the planner provided route suggestion in 96% of cases.</t>
  </si>
  <si>
    <t>Significant design improvement</t>
  </si>
  <si>
    <t>TP. 4</t>
  </si>
  <si>
    <t>Test Procedure :Model reduces sun exposure</t>
  </si>
  <si>
    <t>Model prototype</t>
  </si>
  <si>
    <t>The model achieved 23% of sun exposure reduction relative to popular route in 90% of cases.</t>
  </si>
  <si>
    <t>Requirement number</t>
  </si>
  <si>
    <t>Requirement</t>
  </si>
  <si>
    <t>Abstract name</t>
  </si>
  <si>
    <t>Test number</t>
  </si>
  <si>
    <t>Test method</t>
  </si>
  <si>
    <t>Verification method (A,I,D,T)</t>
  </si>
  <si>
    <t>Test Facilities</t>
  </si>
  <si>
    <t>Real time responsiveness</t>
  </si>
  <si>
    <t>TP.5</t>
  </si>
  <si>
    <t>Measure actual latency using test data</t>
  </si>
  <si>
    <t>A</t>
  </si>
  <si>
    <t>Test computer with model installed, Data centre, Internet connection</t>
  </si>
  <si>
    <t>Real time data management subsystem is ready</t>
  </si>
  <si>
    <t>Measured latency &lt;500 ms/s consistently</t>
  </si>
  <si>
    <t>Offline storage</t>
  </si>
  <si>
    <t>TP.6</t>
  </si>
  <si>
    <t>Inspect total data stored for 15 days of weather forecast, 30 days sun position , infrastructure and route data of 50km radius for diffrent season of the year</t>
  </si>
  <si>
    <t>I</t>
  </si>
  <si>
    <t>Prototype for offline data management is ready</t>
  </si>
  <si>
    <t>Total offline data stored &lt;= 1GB</t>
  </si>
  <si>
    <t>CPU/Memory usage</t>
  </si>
  <si>
    <t>TP.7</t>
  </si>
  <si>
    <t>Monitor CPU/Memory usage with performance profiling tool with route calculation under different conditions</t>
  </si>
  <si>
    <t>T</t>
  </si>
  <si>
    <t>Test device with model installed, Performance monitoring software</t>
  </si>
  <si>
    <t>Complete system is ready</t>
  </si>
  <si>
    <t>CPU and memory usage &lt;=80% throughout the route calculation</t>
  </si>
  <si>
    <t>Good use of mock up test</t>
  </si>
  <si>
    <t>Position update rate</t>
  </si>
  <si>
    <t>TP.8</t>
  </si>
  <si>
    <t>Observe GPS update and verify its frequency</t>
  </si>
  <si>
    <t>Model installed in actual car(Outdoor testing environment)</t>
  </si>
  <si>
    <t>GPS enabled, System is powered on</t>
  </si>
  <si>
    <t>GPS position update occur at 1second intervals constantly</t>
  </si>
  <si>
    <t>Download speed</t>
  </si>
  <si>
    <t>TP.9</t>
  </si>
  <si>
    <t>Measure download speed during synchronisation</t>
  </si>
  <si>
    <t>Model with network access, Network simulation environment</t>
  </si>
  <si>
    <t>System connected to good internet. sync process is ready</t>
  </si>
  <si>
    <t>Measured download speed &gt;= 3Mbps during data sync</t>
  </si>
  <si>
    <t>X</t>
  </si>
  <si>
    <t>TP.4</t>
  </si>
  <si>
    <t>Severity</t>
  </si>
  <si>
    <t>Require more than 20 days to address
Costs more than 15% of total budget
Performce reduction of &gt;50%
System failure impacts usability of system
Doesnt cause any health discomfort</t>
  </si>
  <si>
    <t>Require more than 15 days to address
Costs more than 10%-15% of total budget
Performce reduction of 30-50%
System failure requires frequent manual intervention
More sun exposure than optimal</t>
  </si>
  <si>
    <t>Require more than 10 days to address
Costs more than 8%10% of total budget
Performce reduction of 15-30%
System failure needs manual inputs
Noticable discomfort but safe</t>
  </si>
  <si>
    <t>Require more than 5 days to address
Costs more than 2%-8% of total budget
Performce reduction of 5-15%
System failure can be undone by workarounds
Sunburn and heat discomfort</t>
  </si>
  <si>
    <t>Require more than 1 day to address
Costs more than 1%-2% of total budget
Performce reduction of &lt;5%
System failure doesnt impact user convinience
Significant sunburn</t>
  </si>
  <si>
    <t>Occurs greater than once a week, Occurs in greater than 10% of the operations</t>
  </si>
  <si>
    <t>Occurs greater than once a week, Occurs in 5-10% of the operations</t>
  </si>
  <si>
    <t>Occurs no more than once a week</t>
  </si>
  <si>
    <t>Occurs between once every 2 weeks to once every 3 months</t>
  </si>
  <si>
    <t>Occurs less than once every 3 months</t>
  </si>
  <si>
    <t>Risk Priority Number (RPN) Definition Table</t>
  </si>
  <si>
    <t>Risk Criticality Ranges</t>
  </si>
  <si>
    <t>Likelihood</t>
  </si>
  <si>
    <t>16-25</t>
  </si>
  <si>
    <t>High Risk</t>
  </si>
  <si>
    <t>10-15</t>
  </si>
  <si>
    <t>Medium High Risk</t>
  </si>
  <si>
    <t>5-9</t>
  </si>
  <si>
    <t>Medium Risk</t>
  </si>
  <si>
    <t>3-4</t>
  </si>
  <si>
    <t>Medium Low Risk</t>
  </si>
  <si>
    <t>1-2</t>
  </si>
  <si>
    <t>Low Risk</t>
  </si>
  <si>
    <t>Severity Rating System</t>
  </si>
  <si>
    <t>Likelihood Rating System</t>
  </si>
  <si>
    <r>
      <t>Failure Mode #</t>
    </r>
    <r>
      <rPr>
        <b/>
        <sz val="10"/>
        <color rgb="FF000000"/>
        <rFont val="Arial"/>
        <family val="2"/>
      </rPr>
      <t xml:space="preserve"> </t>
    </r>
  </si>
  <si>
    <t>Subsystem</t>
  </si>
  <si>
    <r>
      <t>Failure Mode</t>
    </r>
    <r>
      <rPr>
        <b/>
        <sz val="10"/>
        <color rgb="FF000000"/>
        <rFont val="Arial"/>
        <family val="2"/>
      </rPr>
      <t xml:space="preserve"> </t>
    </r>
  </si>
  <si>
    <r>
      <t>Failure Effects</t>
    </r>
    <r>
      <rPr>
        <b/>
        <sz val="10"/>
        <color rgb="FF000000"/>
        <rFont val="Arial"/>
        <family val="2"/>
      </rPr>
      <t xml:space="preserve"> </t>
    </r>
  </si>
  <si>
    <r>
      <t>Possible Cause</t>
    </r>
    <r>
      <rPr>
        <b/>
        <sz val="10"/>
        <color rgb="FF000000"/>
        <rFont val="Arial"/>
        <family val="2"/>
      </rPr>
      <t xml:space="preserve"> </t>
    </r>
  </si>
  <si>
    <r>
      <t>Failure Effects Severity</t>
    </r>
    <r>
      <rPr>
        <b/>
        <sz val="10"/>
        <color rgb="FF000000"/>
        <rFont val="Arial"/>
        <family val="2"/>
      </rPr>
      <t xml:space="preserve"> </t>
    </r>
  </si>
  <si>
    <r>
      <t>Occurrence Likelihood</t>
    </r>
    <r>
      <rPr>
        <b/>
        <sz val="10"/>
        <color rgb="FF000000"/>
        <rFont val="Arial"/>
        <family val="2"/>
      </rPr>
      <t xml:space="preserve">  </t>
    </r>
  </si>
  <si>
    <r>
      <t>Risk Priority Number (RPN) (=severity * occurrence)</t>
    </r>
    <r>
      <rPr>
        <b/>
        <sz val="10"/>
        <color rgb="FF000000"/>
        <rFont val="Arial"/>
        <family val="2"/>
      </rPr>
      <t xml:space="preserve"> </t>
    </r>
  </si>
  <si>
    <r>
      <t>Risk Criticality (Corrective Action Priority)</t>
    </r>
    <r>
      <rPr>
        <b/>
        <sz val="10"/>
        <color rgb="FF000000"/>
        <rFont val="Arial"/>
        <family val="2"/>
      </rPr>
      <t xml:space="preserve"> </t>
    </r>
  </si>
  <si>
    <r>
      <t>Corrective Action</t>
    </r>
    <r>
      <rPr>
        <b/>
        <sz val="10"/>
        <color rgb="FF000000"/>
        <rFont val="Arial"/>
        <family val="2"/>
      </rPr>
      <t xml:space="preserve">  </t>
    </r>
  </si>
  <si>
    <r>
      <t>Occurrence Likelihood</t>
    </r>
    <r>
      <rPr>
        <b/>
        <sz val="10"/>
        <color rgb="FF000000"/>
        <rFont val="Arial"/>
        <family val="2"/>
      </rPr>
      <t xml:space="preserve"> </t>
    </r>
  </si>
  <si>
    <r>
      <t>Risk Priority Number (RPN)</t>
    </r>
    <r>
      <rPr>
        <b/>
        <sz val="10"/>
        <color rgb="FF000000"/>
        <rFont val="Arial"/>
        <family val="2"/>
      </rPr>
      <t xml:space="preserve"> </t>
    </r>
  </si>
  <si>
    <r>
      <t>Criticality (Corrective Action Priority)</t>
    </r>
    <r>
      <rPr>
        <b/>
        <sz val="10"/>
        <color rgb="FF000000"/>
        <rFont val="Arial"/>
        <family val="2"/>
      </rPr>
      <t xml:space="preserve"> </t>
    </r>
  </si>
  <si>
    <t>Corrective Action Effort(hrs)</t>
  </si>
  <si>
    <t>Troubleshooting (optional)</t>
  </si>
  <si>
    <t>F.1</t>
  </si>
  <si>
    <t>Optimization failure</t>
  </si>
  <si>
    <t>Suggesting inefficient route in terms of time and sun exposure. Increased sun exposure, Increased travel time</t>
  </si>
  <si>
    <t>Extreme optimization parameters by user</t>
  </si>
  <si>
    <t>MEDIUM HIGH</t>
  </si>
  <si>
    <t>Put threashold on maximum optimization allowed</t>
  </si>
  <si>
    <t>LOW</t>
  </si>
  <si>
    <t>Incorrect algorithm implementation of multi objective optimization</t>
  </si>
  <si>
    <t>MEDIUM</t>
  </si>
  <si>
    <t>F.2</t>
  </si>
  <si>
    <t>Incorrect time required prediction</t>
  </si>
  <si>
    <t>Reduced accuracy of prediction in online and offline mode, Increase travel time</t>
  </si>
  <si>
    <t>Unexpected detours and blocked roads not accounted for</t>
  </si>
  <si>
    <t>Update the route for unexpected route with the frequency of 15min</t>
  </si>
  <si>
    <t>MEDIUM LOW</t>
  </si>
  <si>
    <t>GPS signal errors affecting speed estimates</t>
  </si>
  <si>
    <t>Incorporate dead reckoning system to update and calibrate GPS locally.</t>
  </si>
  <si>
    <t>Traffic or road condition data is not update in real time</t>
  </si>
  <si>
    <t>F.3</t>
  </si>
  <si>
    <t>Incorrect sun exposure prediction</t>
  </si>
  <si>
    <t>Reduced accuracy of prediction in online and offline mode, Increase sun exposure.</t>
  </si>
  <si>
    <t>Outdated weather or sun position data</t>
  </si>
  <si>
    <t>Prompt user to connect to the internet to update offline data.</t>
  </si>
  <si>
    <t>Inconsistent orientation between weather and infrastructure data</t>
  </si>
  <si>
    <t>F.4</t>
  </si>
  <si>
    <t>Inaccurate GPS signal</t>
  </si>
  <si>
    <t>Collects wrong data required for calculation leading to inaccurate route prediction</t>
  </si>
  <si>
    <t>Weak satellite signals</t>
  </si>
  <si>
    <t>Poor GPS update rate</t>
  </si>
  <si>
    <t>HIGH</t>
  </si>
  <si>
    <t>Software errors in reading GPS data</t>
  </si>
  <si>
    <t>F.5</t>
  </si>
  <si>
    <t>Slow computation</t>
  </si>
  <si>
    <t>Increased response time.</t>
  </si>
  <si>
    <t>Inefficient algorithm</t>
  </si>
  <si>
    <t>High memory usage</t>
  </si>
  <si>
    <t>Load/ release memory on demand to keep usage under limits.</t>
  </si>
  <si>
    <t>F.6</t>
  </si>
  <si>
    <t>Data management</t>
  </si>
  <si>
    <t>Inconsistent offline data</t>
  </si>
  <si>
    <t>Data required for route calculation is not available, Partial available data can lead to inaccurate route prediction</t>
  </si>
  <si>
    <t>Offline data is not updated frequently</t>
  </si>
  <si>
    <t>Increase offline data update frequency. .</t>
  </si>
  <si>
    <t>Offline data is more than 1GB</t>
  </si>
  <si>
    <t xml:space="preserve">Store relevent data. </t>
  </si>
  <si>
    <t>Automatic cleanup</t>
  </si>
  <si>
    <t>F.7</t>
  </si>
  <si>
    <t>Slow data retrival</t>
  </si>
  <si>
    <t>Poor quality internet</t>
  </si>
  <si>
    <t>Inefficient algorithm to look for data</t>
  </si>
  <si>
    <t>Slow memory storage</t>
  </si>
  <si>
    <t>F.8</t>
  </si>
  <si>
    <t>Online data corruption</t>
  </si>
  <si>
    <t>Server data corruption</t>
  </si>
  <si>
    <t>Redownload or connect with backup server.</t>
  </si>
  <si>
    <t>Incompatibility between online data format and system parser.</t>
  </si>
  <si>
    <t>Small value approximation is not required since calculation is done by excel</t>
  </si>
  <si>
    <r>
      <t>P</t>
    </r>
    <r>
      <rPr>
        <sz val="6"/>
        <color theme="1"/>
        <rFont val="Aptos Narrow"/>
        <family val="2"/>
        <scheme val="minor"/>
      </rPr>
      <t>B</t>
    </r>
  </si>
  <si>
    <t>Incompatibility between online data format and system parser</t>
  </si>
  <si>
    <t>1.3.1.2.2</t>
  </si>
  <si>
    <r>
      <t>P</t>
    </r>
    <r>
      <rPr>
        <sz val="6"/>
        <color theme="1"/>
        <rFont val="Aptos Narrow"/>
        <family val="2"/>
        <scheme val="minor"/>
      </rPr>
      <t>A</t>
    </r>
  </si>
  <si>
    <t>1.3.1.2.1</t>
  </si>
  <si>
    <r>
      <t>1-(1-P</t>
    </r>
    <r>
      <rPr>
        <sz val="6"/>
        <color theme="1"/>
        <rFont val="Aptos Narrow"/>
        <family val="2"/>
        <scheme val="minor"/>
      </rPr>
      <t>A</t>
    </r>
    <r>
      <rPr>
        <sz val="11"/>
        <color theme="1"/>
        <rFont val="Aptos Narrow"/>
        <family val="2"/>
        <scheme val="minor"/>
      </rPr>
      <t>)*(1-P</t>
    </r>
    <r>
      <rPr>
        <sz val="8"/>
        <color theme="1"/>
        <rFont val="Aptos Narrow"/>
        <family val="2"/>
        <scheme val="minor"/>
      </rPr>
      <t>B</t>
    </r>
    <r>
      <rPr>
        <sz val="11"/>
        <color theme="1"/>
        <rFont val="Aptos Narrow"/>
        <family val="2"/>
        <scheme val="minor"/>
      </rPr>
      <t>)</t>
    </r>
  </si>
  <si>
    <t>1.3.1.2</t>
  </si>
  <si>
    <r>
      <t>P</t>
    </r>
    <r>
      <rPr>
        <sz val="6"/>
        <color theme="1"/>
        <rFont val="Aptos Narrow"/>
        <family val="2"/>
        <scheme val="minor"/>
      </rPr>
      <t>C</t>
    </r>
  </si>
  <si>
    <t>Offline data not updated</t>
  </si>
  <si>
    <t>1.3.1.1</t>
  </si>
  <si>
    <r>
      <t>P</t>
    </r>
    <r>
      <rPr>
        <sz val="6"/>
        <color theme="1"/>
        <rFont val="Aptos Narrow"/>
        <family val="2"/>
        <scheme val="minor"/>
      </rPr>
      <t>F</t>
    </r>
  </si>
  <si>
    <t>Software error in reading GPS data</t>
  </si>
  <si>
    <t>1.2.1.3</t>
  </si>
  <si>
    <r>
      <t>P</t>
    </r>
    <r>
      <rPr>
        <sz val="6"/>
        <color theme="1"/>
        <rFont val="Aptos Narrow"/>
        <family val="2"/>
        <scheme val="minor"/>
      </rPr>
      <t>E</t>
    </r>
  </si>
  <si>
    <t>1.2.1.2</t>
  </si>
  <si>
    <r>
      <t>P</t>
    </r>
    <r>
      <rPr>
        <sz val="6"/>
        <color theme="1"/>
        <rFont val="Aptos Narrow"/>
        <family val="2"/>
        <scheme val="minor"/>
      </rPr>
      <t>D</t>
    </r>
  </si>
  <si>
    <t>Weak GPS signal by satellite</t>
  </si>
  <si>
    <t>1.2.1.1</t>
  </si>
  <si>
    <r>
      <t>P</t>
    </r>
    <r>
      <rPr>
        <sz val="6"/>
        <color theme="1"/>
        <rFont val="Aptos Narrow"/>
        <family val="2"/>
        <scheme val="minor"/>
      </rPr>
      <t>I</t>
    </r>
  </si>
  <si>
    <t>Incosistent orientation between sun position and infrastructure data</t>
  </si>
  <si>
    <t>1.3.2</t>
  </si>
  <si>
    <r>
      <t>P</t>
    </r>
    <r>
      <rPr>
        <sz val="6"/>
        <color theme="1"/>
        <rFont val="Aptos Narrow"/>
        <family val="2"/>
        <scheme val="minor"/>
      </rPr>
      <t>C</t>
    </r>
    <r>
      <rPr>
        <sz val="11"/>
        <color theme="1"/>
        <rFont val="Aptos Narrow"/>
        <family val="2"/>
        <scheme val="minor"/>
      </rPr>
      <t>*[1-(1-P</t>
    </r>
    <r>
      <rPr>
        <sz val="6"/>
        <color theme="1"/>
        <rFont val="Aptos Narrow"/>
        <family val="2"/>
        <scheme val="minor"/>
      </rPr>
      <t>A</t>
    </r>
    <r>
      <rPr>
        <sz val="11"/>
        <color theme="1"/>
        <rFont val="Aptos Narrow"/>
        <family val="2"/>
        <scheme val="minor"/>
      </rPr>
      <t>)*(1-P</t>
    </r>
    <r>
      <rPr>
        <sz val="6"/>
        <color theme="1"/>
        <rFont val="Aptos Narrow"/>
        <family val="2"/>
        <scheme val="minor"/>
      </rPr>
      <t>B</t>
    </r>
    <r>
      <rPr>
        <sz val="11"/>
        <color theme="1"/>
        <rFont val="Aptos Narrow"/>
        <family val="2"/>
        <scheme val="minor"/>
      </rPr>
      <t>)]</t>
    </r>
  </si>
  <si>
    <t>Outdated weather data</t>
  </si>
  <si>
    <t>1.3.1</t>
  </si>
  <si>
    <r>
      <t>P</t>
    </r>
    <r>
      <rPr>
        <sz val="6"/>
        <color theme="1"/>
        <rFont val="Aptos Narrow"/>
        <family val="2"/>
        <scheme val="minor"/>
      </rPr>
      <t>H</t>
    </r>
  </si>
  <si>
    <t>Traffic condition not updated</t>
  </si>
  <si>
    <t>1.2.3</t>
  </si>
  <si>
    <r>
      <t>P</t>
    </r>
    <r>
      <rPr>
        <sz val="6"/>
        <color theme="1"/>
        <rFont val="Aptos Narrow"/>
        <family val="2"/>
        <scheme val="minor"/>
      </rPr>
      <t>G</t>
    </r>
  </si>
  <si>
    <t>Unexpected detour not accounted</t>
  </si>
  <si>
    <t>1.2.2</t>
  </si>
  <si>
    <t>1-(1-PD)*(1-PE)*(1-PF)</t>
  </si>
  <si>
    <t>1.2.1</t>
  </si>
  <si>
    <r>
      <t>P</t>
    </r>
    <r>
      <rPr>
        <sz val="6"/>
        <color theme="1"/>
        <rFont val="Aptos Narrow"/>
        <family val="2"/>
        <scheme val="minor"/>
      </rPr>
      <t>J</t>
    </r>
  </si>
  <si>
    <t>Multiobjective solver optimization numerical instability</t>
  </si>
  <si>
    <t>1.1.2</t>
  </si>
  <si>
    <r>
      <t>P</t>
    </r>
    <r>
      <rPr>
        <sz val="6"/>
        <color theme="1"/>
        <rFont val="Aptos Narrow"/>
        <family val="2"/>
        <scheme val="minor"/>
      </rPr>
      <t>K</t>
    </r>
  </si>
  <si>
    <t>Wrong optimization parameter by user</t>
  </si>
  <si>
    <t>1.1.1</t>
  </si>
  <si>
    <r>
      <t>1-(1-P</t>
    </r>
    <r>
      <rPr>
        <sz val="6"/>
        <color theme="1"/>
        <rFont val="Aptos Narrow"/>
        <family val="2"/>
        <scheme val="minor"/>
      </rPr>
      <t>I</t>
    </r>
    <r>
      <rPr>
        <sz val="11"/>
        <color theme="1"/>
        <rFont val="Aptos Narrow"/>
        <family val="2"/>
        <scheme val="minor"/>
      </rPr>
      <t>)*(1-(P</t>
    </r>
    <r>
      <rPr>
        <sz val="6"/>
        <color theme="1"/>
        <rFont val="Aptos Narrow"/>
        <family val="2"/>
        <scheme val="minor"/>
      </rPr>
      <t>C</t>
    </r>
    <r>
      <rPr>
        <sz val="11"/>
        <color theme="1"/>
        <rFont val="Aptos Narrow"/>
        <family val="2"/>
        <scheme val="minor"/>
      </rPr>
      <t>*[1-(1-P</t>
    </r>
    <r>
      <rPr>
        <sz val="6"/>
        <color theme="1"/>
        <rFont val="Aptos Narrow"/>
        <family val="2"/>
        <scheme val="minor"/>
      </rPr>
      <t>A</t>
    </r>
    <r>
      <rPr>
        <sz val="11"/>
        <color theme="1"/>
        <rFont val="Aptos Narrow"/>
        <family val="2"/>
        <scheme val="minor"/>
      </rPr>
      <t>)*(1-P</t>
    </r>
    <r>
      <rPr>
        <sz val="6"/>
        <color theme="1"/>
        <rFont val="Aptos Narrow"/>
        <family val="2"/>
        <scheme val="minor"/>
      </rPr>
      <t>B</t>
    </r>
    <r>
      <rPr>
        <sz val="11"/>
        <color theme="1"/>
        <rFont val="Aptos Narrow"/>
        <family val="2"/>
        <scheme val="minor"/>
      </rPr>
      <t>)]))</t>
    </r>
  </si>
  <si>
    <t>Inaccurate sun exposure prediction</t>
  </si>
  <si>
    <r>
      <t>1-(1-P</t>
    </r>
    <r>
      <rPr>
        <sz val="6"/>
        <color theme="1"/>
        <rFont val="Aptos Narrow"/>
        <family val="2"/>
        <scheme val="minor"/>
      </rPr>
      <t>H</t>
    </r>
    <r>
      <rPr>
        <sz val="11"/>
        <color theme="1"/>
        <rFont val="Aptos Narrow"/>
        <family val="2"/>
        <scheme val="minor"/>
      </rPr>
      <t>)*(1-P</t>
    </r>
    <r>
      <rPr>
        <sz val="6"/>
        <color theme="1"/>
        <rFont val="Aptos Narrow"/>
        <family val="2"/>
        <scheme val="minor"/>
      </rPr>
      <t>G</t>
    </r>
    <r>
      <rPr>
        <sz val="11"/>
        <color theme="1"/>
        <rFont val="Aptos Narrow"/>
        <family val="2"/>
        <scheme val="minor"/>
      </rPr>
      <t>)*(1-P</t>
    </r>
    <r>
      <rPr>
        <sz val="6"/>
        <color theme="1"/>
        <rFont val="Aptos Narrow"/>
        <family val="2"/>
        <scheme val="minor"/>
      </rPr>
      <t>D</t>
    </r>
    <r>
      <rPr>
        <sz val="11"/>
        <color theme="1"/>
        <rFont val="Aptos Narrow"/>
        <family val="2"/>
        <scheme val="minor"/>
      </rPr>
      <t>*P</t>
    </r>
    <r>
      <rPr>
        <sz val="6"/>
        <color theme="1"/>
        <rFont val="Aptos Narrow"/>
        <family val="2"/>
        <scheme val="minor"/>
      </rPr>
      <t>E</t>
    </r>
    <r>
      <rPr>
        <sz val="11"/>
        <color theme="1"/>
        <rFont val="Aptos Narrow"/>
        <family val="2"/>
        <scheme val="minor"/>
      </rPr>
      <t>*P</t>
    </r>
    <r>
      <rPr>
        <sz val="6"/>
        <color theme="1"/>
        <rFont val="Aptos Narrow"/>
        <family val="2"/>
        <scheme val="minor"/>
      </rPr>
      <t>F</t>
    </r>
    <r>
      <rPr>
        <sz val="11"/>
        <color theme="1"/>
        <rFont val="Aptos Narrow"/>
        <family val="2"/>
        <scheme val="minor"/>
      </rPr>
      <t>)</t>
    </r>
  </si>
  <si>
    <t>Inaccurate time required prediction</t>
  </si>
  <si>
    <r>
      <t>1-(1-P</t>
    </r>
    <r>
      <rPr>
        <sz val="6"/>
        <color theme="1"/>
        <rFont val="Aptos Narrow"/>
        <family val="2"/>
        <scheme val="minor"/>
      </rPr>
      <t>J</t>
    </r>
    <r>
      <rPr>
        <sz val="11"/>
        <color theme="1"/>
        <rFont val="Aptos Narrow"/>
        <family val="2"/>
        <scheme val="minor"/>
      </rPr>
      <t>)*(1-P</t>
    </r>
    <r>
      <rPr>
        <sz val="6"/>
        <color theme="1"/>
        <rFont val="Aptos Narrow"/>
        <family val="2"/>
        <scheme val="minor"/>
      </rPr>
      <t>K</t>
    </r>
    <r>
      <rPr>
        <sz val="11"/>
        <color theme="1"/>
        <rFont val="Aptos Narrow"/>
        <family val="2"/>
        <scheme val="minor"/>
      </rPr>
      <t>)</t>
    </r>
  </si>
  <si>
    <t>Optimization algorithm fails</t>
  </si>
  <si>
    <r>
      <t>1-((1-P</t>
    </r>
    <r>
      <rPr>
        <sz val="6"/>
        <color theme="1"/>
        <rFont val="Aptos Narrow"/>
        <family val="2"/>
        <scheme val="minor"/>
      </rPr>
      <t>J</t>
    </r>
    <r>
      <rPr>
        <sz val="11"/>
        <color theme="1"/>
        <rFont val="Aptos Narrow"/>
        <family val="2"/>
        <scheme val="minor"/>
      </rPr>
      <t>)*(1-P</t>
    </r>
    <r>
      <rPr>
        <sz val="6"/>
        <color theme="1"/>
        <rFont val="Aptos Narrow"/>
        <family val="2"/>
        <scheme val="minor"/>
      </rPr>
      <t>K</t>
    </r>
    <r>
      <rPr>
        <sz val="11"/>
        <color theme="1"/>
        <rFont val="Aptos Narrow"/>
        <family val="2"/>
        <scheme val="minor"/>
      </rPr>
      <t>))*((1-P</t>
    </r>
    <r>
      <rPr>
        <sz val="6"/>
        <color theme="1"/>
        <rFont val="Aptos Narrow"/>
        <family val="2"/>
        <scheme val="minor"/>
      </rPr>
      <t>H</t>
    </r>
    <r>
      <rPr>
        <sz val="11"/>
        <color theme="1"/>
        <rFont val="Aptos Narrow"/>
        <family val="2"/>
        <scheme val="minor"/>
      </rPr>
      <t>)*(1-P</t>
    </r>
    <r>
      <rPr>
        <sz val="6"/>
        <color theme="1"/>
        <rFont val="Aptos Narrow"/>
        <family val="2"/>
        <scheme val="minor"/>
      </rPr>
      <t>G</t>
    </r>
    <r>
      <rPr>
        <sz val="11"/>
        <color theme="1"/>
        <rFont val="Aptos Narrow"/>
        <family val="2"/>
        <scheme val="minor"/>
      </rPr>
      <t>)*(1-P</t>
    </r>
    <r>
      <rPr>
        <sz val="6"/>
        <color theme="1"/>
        <rFont val="Aptos Narrow"/>
        <family val="2"/>
        <scheme val="minor"/>
      </rPr>
      <t>D</t>
    </r>
    <r>
      <rPr>
        <sz val="11"/>
        <color theme="1"/>
        <rFont val="Aptos Narrow"/>
        <family val="2"/>
        <scheme val="minor"/>
      </rPr>
      <t>*P</t>
    </r>
    <r>
      <rPr>
        <sz val="6"/>
        <color theme="1"/>
        <rFont val="Aptos Narrow"/>
        <family val="2"/>
        <scheme val="minor"/>
      </rPr>
      <t>E</t>
    </r>
    <r>
      <rPr>
        <sz val="11"/>
        <color theme="1"/>
        <rFont val="Aptos Narrow"/>
        <family val="2"/>
        <scheme val="minor"/>
      </rPr>
      <t>*P</t>
    </r>
    <r>
      <rPr>
        <sz val="6"/>
        <color theme="1"/>
        <rFont val="Aptos Narrow"/>
        <family val="2"/>
        <scheme val="minor"/>
      </rPr>
      <t>F</t>
    </r>
    <r>
      <rPr>
        <sz val="11"/>
        <color theme="1"/>
        <rFont val="Aptos Narrow"/>
        <family val="2"/>
        <scheme val="minor"/>
      </rPr>
      <t>))*((1-P</t>
    </r>
    <r>
      <rPr>
        <sz val="6"/>
        <color theme="1"/>
        <rFont val="Aptos Narrow"/>
        <family val="2"/>
        <scheme val="minor"/>
      </rPr>
      <t>I</t>
    </r>
    <r>
      <rPr>
        <sz val="11"/>
        <color theme="1"/>
        <rFont val="Aptos Narrow"/>
        <family val="2"/>
        <scheme val="minor"/>
      </rPr>
      <t>)*(1-(P</t>
    </r>
    <r>
      <rPr>
        <sz val="6"/>
        <color theme="1"/>
        <rFont val="Aptos Narrow"/>
        <family val="2"/>
        <scheme val="minor"/>
      </rPr>
      <t>C</t>
    </r>
    <r>
      <rPr>
        <sz val="11"/>
        <color theme="1"/>
        <rFont val="Aptos Narrow"/>
        <family val="2"/>
        <scheme val="minor"/>
      </rPr>
      <t>*[1-(1-P</t>
    </r>
    <r>
      <rPr>
        <sz val="6"/>
        <color theme="1"/>
        <rFont val="Aptos Narrow"/>
        <family val="2"/>
        <scheme val="minor"/>
      </rPr>
      <t>A</t>
    </r>
    <r>
      <rPr>
        <sz val="11"/>
        <color theme="1"/>
        <rFont val="Aptos Narrow"/>
        <family val="2"/>
        <scheme val="minor"/>
      </rPr>
      <t>)*(1-P</t>
    </r>
    <r>
      <rPr>
        <sz val="6"/>
        <color theme="1"/>
        <rFont val="Aptos Narrow"/>
        <family val="2"/>
        <scheme val="minor"/>
      </rPr>
      <t>B</t>
    </r>
    <r>
      <rPr>
        <sz val="11"/>
        <color theme="1"/>
        <rFont val="Aptos Narrow"/>
        <family val="2"/>
        <scheme val="minor"/>
      </rPr>
      <t>)])))</t>
    </r>
  </si>
  <si>
    <t>Non optimal route suggestion</t>
  </si>
  <si>
    <t>Equation</t>
  </si>
  <si>
    <t>Failure</t>
  </si>
  <si>
    <t>Number</t>
  </si>
  <si>
    <r>
      <t>Design Justification:</t>
    </r>
    <r>
      <rPr>
        <sz val="11"/>
        <color theme="1"/>
        <rFont val="Aptos Narrow"/>
        <family val="2"/>
        <scheme val="minor"/>
      </rPr>
      <t xml:space="preserve">
During the fault tree analysis of the solar route planner system it was observed that GPS related failure were major contributer to overall system accuracy, with the probability of having weak satellite signal is 0.07 and having poor GPS update rate to 0.04. To mitigate this risk , a dead reckoning system was integrated with existing GPS module. The dead reckoning system uses internal sensors to determine behicles position based on speed, heading and complementing GPS data particularly insituation when GPS signal is weak. After making these changes the probability of failure related to weak satellite signal and poor GPS update rate was reduced to 0.02, enhancing overall robustness of the system
</t>
    </r>
  </si>
  <si>
    <t>Weather offline update</t>
  </si>
  <si>
    <t>Route offline update</t>
  </si>
  <si>
    <t>Sun Data offline update</t>
  </si>
  <si>
    <t>Infrastructuer offline update</t>
  </si>
  <si>
    <t>Voice Navigation</t>
  </si>
  <si>
    <t>Resource usage limit</t>
  </si>
  <si>
    <t>Low bandwidth sync</t>
  </si>
  <si>
    <t>High bandwidth sync</t>
  </si>
  <si>
    <t>Sun exposure reduction</t>
  </si>
  <si>
    <t>The system shall not consume more than 5% of battery capacity per hour during active route navigation under nominal operating conditions.</t>
  </si>
  <si>
    <t>Battery consumption</t>
  </si>
  <si>
    <t>Select a route to minimize sun exposure</t>
  </si>
  <si>
    <t>Limit additional travel time while selecting route to minimize sun exposure</t>
  </si>
  <si>
    <t>Prediction accuracy for sun exposure prediction for given route in offline mode</t>
  </si>
  <si>
    <t>Prediction accuracy for sun exposure prediction for given route in online mode</t>
  </si>
  <si>
    <t>Generate optimal route within acceptable time</t>
  </si>
  <si>
    <t>Provide intutive interaction during software usage</t>
  </si>
  <si>
    <t>Limit computational load</t>
  </si>
  <si>
    <t>Minimize battery consumption</t>
  </si>
  <si>
    <t>Protect user data</t>
  </si>
  <si>
    <t>Minimize operational and maintainance cost of system</t>
  </si>
  <si>
    <t>Ensure sufficient revenue potential</t>
  </si>
  <si>
    <t>OR.1 The system shall not store offline data more than 1GB</t>
  </si>
  <si>
    <t>OR.3 The system shall track its GPS location with 1Hz.</t>
  </si>
  <si>
    <t>Interrupt and trigger to recalculate</t>
  </si>
  <si>
    <t>OR.37 The system shall provide voice-guided navigation to the user.</t>
  </si>
  <si>
    <t>OR.38 The system shall process and update real time data with maximum latency of 500ms/s</t>
  </si>
  <si>
    <t>OR.39 The system shall not consume more than 5% of battery capacity per hour during active route navigation under nominal operating conditions.</t>
  </si>
  <si>
    <t>OR.40 The system shall operate without exceeding 80% of available system memory or CPU usage during route calculation</t>
  </si>
  <si>
    <t>OR.41 The system shall maintain a minimum data synchronization speed of 50kbps for download under poor internet connectivity</t>
  </si>
  <si>
    <t>OR.42 The system shall shall maintain a minimum data synchronization speed of 3Mbps for download under good internet connectivity</t>
  </si>
  <si>
    <t>OR.43 The system shall maintain a minimum data synchronization speed of 50kbps for download under poor internet connectivity</t>
  </si>
  <si>
    <t>Use Case: System adjust route as per cloud cover changes</t>
  </si>
  <si>
    <t>Use case : User wants to add an intermediate stop during journey</t>
  </si>
  <si>
    <t>Literature review</t>
  </si>
  <si>
    <t>Requirement Analysis</t>
  </si>
  <si>
    <t>- Structured research document including equations, assumptions for modelling, solar trajectory charts and current AI methods.</t>
  </si>
  <si>
    <t>- System requirement document
- Test criteria matrix</t>
  </si>
  <si>
    <t>Define system requirements and success criteria</t>
  </si>
  <si>
    <t>SysML Architecture</t>
  </si>
  <si>
    <t>Develop SysML models for systems arcitecture</t>
  </si>
  <si>
    <t>- SysMLarchietecture diagrams</t>
  </si>
  <si>
    <t>Phase 1 : Reserch and Requirements</t>
  </si>
  <si>
    <t>Phase 2 : Shadow model development</t>
  </si>
  <si>
    <t>Shadow algorithm design</t>
  </si>
  <si>
    <t>Develop mathematical model for solar position and shadow projection</t>
  </si>
  <si>
    <t>Shadow model implementation</t>
  </si>
  <si>
    <t>Development of shadow algorithm in C#</t>
  </si>
  <si>
    <t>- Solar position equation
- Shadow projection formulas</t>
  </si>
  <si>
    <t>- Working shadow calculation code in unity interface
- Unit test</t>
  </si>
  <si>
    <t>Test 1</t>
  </si>
  <si>
    <t>- Test results for cubes, cylinders 
-Accuracy validation report</t>
  </si>
  <si>
    <t>Phase 3 : 3D New york city model acquisition</t>
  </si>
  <si>
    <t>3D model sourcing</t>
  </si>
  <si>
    <t>Acquire NYC 3D building and road network model</t>
  </si>
  <si>
    <t>3D model import in unity</t>
  </si>
  <si>
    <t>- combined NYC building model along with stictched road in unity package format</t>
  </si>
  <si>
    <t>Convert data in unity compatible format</t>
  </si>
  <si>
    <t>Assemble and import data in unity</t>
  </si>
  <si>
    <t>Clean and import model in parts in unity</t>
  </si>
  <si>
    <t xml:space="preserve">- Raw 3D city data </t>
  </si>
  <si>
    <t>- Cleaned 3D model in parts (.fbx or .obj)</t>
  </si>
  <si>
    <t>Test 2</t>
  </si>
  <si>
    <t>Geometry validation</t>
  </si>
  <si>
    <t>- Validation report</t>
  </si>
  <si>
    <t>Phase 4 : Integrated simulation environment</t>
  </si>
  <si>
    <t>Phase 5 : Digital twin data generation</t>
  </si>
  <si>
    <t>Phase 6 : Machine learning model development</t>
  </si>
  <si>
    <t>Shadow model integartion</t>
  </si>
  <si>
    <t>Integrate shadow algorithm with 3D Unity model</t>
  </si>
  <si>
    <t>- Integrated C# algorithm for shadow calculation with 3D NYC model</t>
  </si>
  <si>
    <t>Simulation Control</t>
  </si>
  <si>
    <t>Develop method for time, date location control</t>
  </si>
  <si>
    <t>- Method for simulation control
- Method for result collection</t>
  </si>
  <si>
    <t>Test 3</t>
  </si>
  <si>
    <t>System Validation</t>
  </si>
  <si>
    <t>- Test results for different conditions
- Shadow accuracy validation</t>
  </si>
  <si>
    <t>Semester 1 documentation</t>
  </si>
  <si>
    <t>Compile results, lesson learned, semester report</t>
  </si>
  <si>
    <t>- Semester 1 work report
- Lesson learned document</t>
  </si>
  <si>
    <t>Route Network Definition</t>
  </si>
  <si>
    <t>Simulation Parameter Design</t>
  </si>
  <si>
    <t>Data Collection</t>
  </si>
  <si>
    <t>Test 4</t>
  </si>
  <si>
    <t>Data Quality Validation</t>
  </si>
  <si>
    <t>Run simulations to generate shadow exposure data for routes</t>
  </si>
  <si>
    <t>Define scenarios: weather conditions, time periods, seasons</t>
  </si>
  <si>
    <t>Define pedestrian route network (nodes, edges) on NYC model</t>
  </si>
  <si>
    <t>- Network topology document
- Coordinate mapping</t>
  </si>
  <si>
    <t>- Weather condition definition
- Scenario matrix
- Sampling strategy</t>
  </si>
  <si>
    <t>- Shadow exposure dataset
- Route metadata</t>
  </si>
  <si>
    <t>- Data quality report
- Cleaned dataset
- Data validation test report</t>
  </si>
  <si>
    <t>Data labeling</t>
  </si>
  <si>
    <t>Label the data</t>
  </si>
  <si>
    <t>- labelled data</t>
  </si>
  <si>
    <t>ML model selection</t>
  </si>
  <si>
    <t>Evaluate candidate model</t>
  </si>
  <si>
    <t>- model comparison matrix
- Selection justification</t>
  </si>
  <si>
    <t>Data Preprocessing</t>
  </si>
  <si>
    <t>Split data (train/validation/test), normalize, encode categorical variables</t>
  </si>
  <si>
    <t>- Preprocessed dataset</t>
  </si>
  <si>
    <t>Model Training</t>
  </si>
  <si>
    <t>Test 5</t>
  </si>
  <si>
    <t>Model validation</t>
  </si>
  <si>
    <t>Train primary ML model on training data</t>
  </si>
  <si>
    <t>- Trained model
-Hyperparameter documentation</t>
  </si>
  <si>
    <t>- Validation metrics report
- Confusion matrix/ error analysis
-Cross validation result
- Optimized model</t>
  </si>
  <si>
    <t>Phase 7 : System integration and optimizatiuon</t>
  </si>
  <si>
    <t>Phase 8 : Final system validation</t>
  </si>
  <si>
    <t>AI-Simulation Integration</t>
  </si>
  <si>
    <t>Multi-Objective Optimization</t>
  </si>
  <si>
    <t>Test 6</t>
  </si>
  <si>
    <t>Integration Testing</t>
  </si>
  <si>
    <t>Implement optimization algorithm (weighted sum, Pareto, etc.)</t>
  </si>
  <si>
    <t>Integrate trained ML model with Unity/data management system</t>
  </si>
  <si>
    <t>- Integrated AI-enabled system</t>
  </si>
  <si>
    <t>- Optimization solver code 
- Multi-objective cost function
- Route recommendation engine</t>
  </si>
  <si>
    <t>- Integration test results
- API test documentation
- Performance benchmarks</t>
  </si>
  <si>
    <t>Test 7</t>
  </si>
  <si>
    <t>Case Study Evaluation</t>
  </si>
  <si>
    <t>Performance Analysis &amp; Benchmarking</t>
  </si>
  <si>
    <t>End-to-End System Testing</t>
  </si>
  <si>
    <t>Conduct detailed case studies (summer/winter, morning/evening, different weather)</t>
  </si>
  <si>
    <t>Analyze route quality, computation time, accuracy metrics vs. baselines</t>
  </si>
  <si>
    <t>- System test results
- User scenario validation model</t>
  </si>
  <si>
    <t>- Case study documentation</t>
  </si>
  <si>
    <t>-  Performance analysis report 
- Comparison with baseline algorithms</t>
  </si>
  <si>
    <t>Results &amp; Analysis Writing</t>
  </si>
  <si>
    <t>Final Submission</t>
  </si>
  <si>
    <t>Prepare conclusion demo material</t>
  </si>
  <si>
    <t>Document experimental results, analysis, and case studies</t>
  </si>
  <si>
    <t>- Results and anal;ysis documentation</t>
  </si>
  <si>
    <t>- Demo video/live demo</t>
  </si>
  <si>
    <t>Increase the frequency of update for offline weather and sunposition data</t>
  </si>
  <si>
    <t>Single user</t>
  </si>
  <si>
    <t>Multi user</t>
  </si>
  <si>
    <t>User Convinience</t>
  </si>
  <si>
    <t>Accuracy</t>
  </si>
  <si>
    <t>User Interaction</t>
  </si>
  <si>
    <t>Route simplicity</t>
  </si>
  <si>
    <t>Compact Route</t>
  </si>
  <si>
    <t>Clear Directions</t>
  </si>
  <si>
    <t>Reliabilioty</t>
  </si>
  <si>
    <t>Non-fragile data</t>
  </si>
  <si>
    <t>Safe navigation</t>
  </si>
  <si>
    <t>Safety alerts</t>
  </si>
  <si>
    <t>Compatibility</t>
  </si>
  <si>
    <t>Lightweight app</t>
  </si>
  <si>
    <t>Flexible options</t>
  </si>
  <si>
    <t>User skill support</t>
  </si>
  <si>
    <t>Knowledge access</t>
  </si>
  <si>
    <t>Creative route option</t>
  </si>
  <si>
    <t>Imaginative paths</t>
  </si>
  <si>
    <t>Standard path</t>
  </si>
  <si>
    <t>User engagemnet</t>
  </si>
  <si>
    <t>Focused recommendation</t>
  </si>
  <si>
    <t>History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</si>
</sst>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0.00_ "/>
  </numFmts>
  <fonts count="52">
    <font>
      <sz val="11"/>
      <color theme="1"/>
      <name val="Aptos Narrow"/>
      <charset val="134"/>
      <scheme val="minor"/>
    </font>
    <font>
      <sz val="11"/>
      <color theme="1"/>
      <name val="Aptos Narrow"/>
      <family val="2"/>
      <scheme val="minor"/>
    </font>
    <font>
      <sz val="12"/>
      <color rgb="FF000000"/>
      <name val="Arial"/>
      <charset val="134"/>
    </font>
    <font>
      <b/>
      <sz val="12"/>
      <color rgb="FF000000"/>
      <name val="Arial"/>
      <charset val="134"/>
    </font>
    <font>
      <i/>
      <sz val="12"/>
      <color rgb="FF000000"/>
      <name val="Arial"/>
      <charset val="134"/>
    </font>
    <font>
      <sz val="11"/>
      <color theme="1"/>
      <name val="Calibri"/>
      <charset val="134"/>
    </font>
    <font>
      <sz val="12"/>
      <color rgb="FF000000"/>
      <name val="Calibri"/>
      <charset val="134"/>
    </font>
    <font>
      <sz val="12"/>
      <color rgb="FFF2F2F2"/>
      <name val="Arial"/>
      <charset val="134"/>
    </font>
    <font>
      <i/>
      <sz val="11"/>
      <color rgb="FF000000"/>
      <name val="Calibri"/>
      <charset val="134"/>
    </font>
    <font>
      <b/>
      <sz val="11"/>
      <color rgb="FF000000"/>
      <name val="Calibri"/>
      <charset val="134"/>
    </font>
    <font>
      <sz val="11"/>
      <name val="Calibri"/>
      <charset val="134"/>
    </font>
    <font>
      <sz val="10"/>
      <color rgb="FF000000"/>
      <name val="Arial"/>
      <charset val="134"/>
    </font>
    <font>
      <b/>
      <sz val="14"/>
      <color rgb="FF000000"/>
      <name val="Arial"/>
      <charset val="134"/>
    </font>
    <font>
      <sz val="14"/>
      <name val="Arial"/>
      <charset val="134"/>
    </font>
    <font>
      <i/>
      <sz val="14"/>
      <color rgb="FF000000"/>
      <name val="Arial"/>
      <charset val="134"/>
    </font>
    <font>
      <sz val="14"/>
      <color rgb="FF000000"/>
      <name val="Arial"/>
      <charset val="134"/>
    </font>
    <font>
      <sz val="10"/>
      <name val="Arial"/>
      <charset val="134"/>
    </font>
    <font>
      <b/>
      <sz val="14"/>
      <name val="Arial"/>
      <charset val="134"/>
    </font>
    <font>
      <sz val="11"/>
      <color theme="1"/>
      <name val="Arial"/>
      <charset val="134"/>
    </font>
    <font>
      <sz val="14"/>
      <color theme="1"/>
      <name val="Arial"/>
      <charset val="134"/>
    </font>
    <font>
      <i/>
      <sz val="14"/>
      <color theme="1"/>
      <name val="Arial"/>
      <charset val="134"/>
    </font>
    <font>
      <b/>
      <sz val="14"/>
      <color theme="1"/>
      <name val="Arial"/>
      <charset val="134"/>
    </font>
    <font>
      <b/>
      <sz val="14"/>
      <color theme="1"/>
      <name val="Calibri"/>
      <charset val="134"/>
    </font>
    <font>
      <b/>
      <sz val="11"/>
      <color theme="1"/>
      <name val="Calibri"/>
      <charset val="134"/>
    </font>
    <font>
      <strike/>
      <sz val="11"/>
      <color theme="1"/>
      <name val="Calibri"/>
      <charset val="134"/>
    </font>
    <font>
      <sz val="12"/>
      <color theme="1"/>
      <name val="Calibri"/>
      <charset val="134"/>
    </font>
    <font>
      <b/>
      <sz val="12"/>
      <color rgb="FF000000"/>
      <name val="Calibri"/>
      <charset val="134"/>
    </font>
    <font>
      <b/>
      <i/>
      <sz val="14"/>
      <name val="Arial"/>
      <charset val="134"/>
    </font>
    <font>
      <sz val="11"/>
      <color theme="1"/>
      <name val="Aptos Narrow"/>
      <charset val="134"/>
      <scheme val="minor"/>
    </font>
    <font>
      <sz val="8"/>
      <name val="Aptos Narrow"/>
      <charset val="134"/>
      <scheme val="minor"/>
    </font>
    <font>
      <sz val="11"/>
      <color indexed="8"/>
      <name val="Calibri"/>
      <charset val="134"/>
    </font>
    <font>
      <b/>
      <sz val="11"/>
      <color indexed="8"/>
      <name val="Calibri"/>
      <charset val="134"/>
    </font>
    <font>
      <b/>
      <sz val="11"/>
      <color theme="1"/>
      <name val="Aptos Narrow"/>
      <family val="2"/>
      <scheme val="minor"/>
    </font>
    <font>
      <b/>
      <sz val="11"/>
      <color theme="1"/>
      <name val="Calibri"/>
      <family val="2"/>
    </font>
    <font>
      <sz val="11"/>
      <color theme="1"/>
      <name val="Calibri"/>
      <family val="2"/>
    </font>
    <font>
      <i/>
      <sz val="11"/>
      <color theme="1"/>
      <name val="Calibri"/>
      <family val="2"/>
    </font>
    <font>
      <b/>
      <sz val="11"/>
      <color rgb="FF000000"/>
      <name val="Calibri"/>
      <family val="2"/>
    </font>
    <font>
      <sz val="18"/>
      <color theme="1"/>
      <name val="Calibri (Body)_x0000_"/>
      <charset val="134"/>
    </font>
    <font>
      <u/>
      <sz val="11"/>
      <color theme="1"/>
      <name val="Aptos Narrow"/>
      <family val="2"/>
      <scheme val="minor"/>
    </font>
    <font>
      <sz val="11"/>
      <color rgb="FF5C5C5C"/>
      <name val="Arial"/>
      <family val="2"/>
    </font>
    <font>
      <sz val="11"/>
      <color rgb="FF000000"/>
      <name val="Calibri"/>
      <family val="2"/>
    </font>
    <font>
      <b/>
      <sz val="11"/>
      <color rgb="FF000000"/>
      <name val="Arial"/>
      <family val="2"/>
    </font>
    <font>
      <sz val="12"/>
      <color rgb="FF000000"/>
      <name val="Arial"/>
      <family val="2"/>
    </font>
    <font>
      <i/>
      <sz val="11"/>
      <color rgb="FF000000"/>
      <name val="Arial"/>
      <family val="2"/>
    </font>
    <font>
      <sz val="12"/>
      <color rgb="FF000000"/>
      <name val="Calibri"/>
      <family val="2"/>
    </font>
    <font>
      <b/>
      <sz val="10"/>
      <color rgb="FF000000"/>
      <name val="Arial"/>
      <family val="2"/>
    </font>
    <font>
      <sz val="6"/>
      <color theme="1"/>
      <name val="Aptos Narrow"/>
      <family val="2"/>
      <scheme val="minor"/>
    </font>
    <font>
      <sz val="8"/>
      <color theme="1"/>
      <name val="Aptos Narrow"/>
      <family val="2"/>
      <scheme val="minor"/>
    </font>
    <font>
      <b/>
      <sz val="10"/>
      <color rgb="FF000000"/>
      <name val="Calibri"/>
      <family val="2"/>
    </font>
    <font>
      <b/>
      <sz val="9"/>
      <color rgb="FF000000"/>
      <name val="Calibri"/>
      <family val="2"/>
    </font>
    <font>
      <sz val="9"/>
      <color theme="1"/>
      <name val="Calibri"/>
      <family val="2"/>
    </font>
    <font>
      <sz val="9"/>
      <color rgb="FF000000"/>
      <name val="Calibri"/>
      <family val="2"/>
    </font>
  </fonts>
  <fills count="40">
    <fill>
      <patternFill patternType="none"/>
    </fill>
    <fill>
      <patternFill patternType="gray125"/>
    </fill>
    <fill>
      <patternFill patternType="solid">
        <fgColor rgb="FFF2F2F2"/>
        <bgColor indexed="64"/>
      </patternFill>
    </fill>
    <fill>
      <patternFill patternType="solid">
        <fgColor rgb="FFBDD7EE"/>
        <bgColor indexed="64"/>
      </patternFill>
    </fill>
    <fill>
      <patternFill patternType="solid">
        <fgColor rgb="FFB4C6E7"/>
        <bgColor indexed="64"/>
      </patternFill>
    </fill>
    <fill>
      <patternFill patternType="solid">
        <fgColor rgb="FFF8CBAD"/>
        <bgColor indexed="64"/>
      </patternFill>
    </fill>
    <fill>
      <patternFill patternType="solid">
        <fgColor rgb="FFFFE699"/>
        <bgColor indexed="64"/>
      </patternFill>
    </fill>
    <fill>
      <patternFill patternType="solid">
        <fgColor rgb="FFC6E0B4"/>
        <bgColor indexed="64"/>
      </patternFill>
    </fill>
    <fill>
      <patternFill patternType="solid">
        <fgColor theme="0" tint="-0.14996795556505021"/>
        <bgColor indexed="64"/>
      </patternFill>
    </fill>
    <fill>
      <patternFill patternType="solid">
        <fgColor theme="0" tint="-0.14996795556505021"/>
        <bgColor rgb="FFA5A5A5"/>
      </patternFill>
    </fill>
    <fill>
      <patternFill patternType="solid">
        <fgColor rgb="FFBFBFBF"/>
        <bgColor rgb="FFBFBFBF"/>
      </patternFill>
    </fill>
    <fill>
      <patternFill patternType="solid">
        <fgColor theme="0" tint="-0.14996795556505021"/>
        <bgColor rgb="FFBFBFBF"/>
      </patternFill>
    </fill>
    <fill>
      <patternFill patternType="solid">
        <fgColor rgb="FFFFFDD6"/>
        <bgColor indexed="64"/>
      </patternFill>
    </fill>
    <fill>
      <patternFill patternType="solid">
        <fgColor rgb="FFFFFDD6"/>
        <bgColor rgb="FFFFFF99"/>
      </patternFill>
    </fill>
    <fill>
      <patternFill patternType="solid">
        <fgColor rgb="FFD8D8D8"/>
        <bgColor rgb="FFD8D8D8"/>
      </patternFill>
    </fill>
    <fill>
      <patternFill patternType="solid">
        <fgColor theme="9" tint="0.59999389629810485"/>
        <bgColor indexed="64"/>
      </patternFill>
    </fill>
    <fill>
      <patternFill patternType="solid">
        <fgColor rgb="FFFFFFFF"/>
        <bgColor indexed="64"/>
      </patternFill>
    </fill>
    <fill>
      <patternFill patternType="solid">
        <fgColor theme="8" tint="0.3999450666829432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79995117038483843"/>
        <bgColor indexed="64"/>
      </patternFill>
    </fill>
    <fill>
      <patternFill patternType="solid">
        <fgColor theme="7" tint="0.39994506668294322"/>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7" tint="0.79995117038483843"/>
        <bgColor indexed="64"/>
      </patternFill>
    </fill>
    <fill>
      <patternFill patternType="solid">
        <fgColor theme="9" tint="0.3999450666829432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F00"/>
        <bgColor rgb="FF000000"/>
      </patternFill>
    </fill>
    <fill>
      <patternFill patternType="solid">
        <fgColor rgb="FFFFC000"/>
        <bgColor rgb="FF000000"/>
      </patternFill>
    </fill>
    <fill>
      <patternFill patternType="solid">
        <fgColor rgb="FFFF0000"/>
        <bgColor rgb="FF000000"/>
      </patternFill>
    </fill>
    <fill>
      <patternFill patternType="solid">
        <fgColor rgb="FF92D050"/>
        <bgColor rgb="FF000000"/>
      </patternFill>
    </fill>
    <fill>
      <patternFill patternType="solid">
        <fgColor rgb="FF00B050"/>
        <bgColor rgb="FF000000"/>
      </patternFill>
    </fill>
    <fill>
      <patternFill patternType="solid">
        <fgColor rgb="FFD9D9D9"/>
        <bgColor rgb="FF000000"/>
      </patternFill>
    </fill>
    <fill>
      <patternFill patternType="solid">
        <fgColor rgb="FFA6A6A6"/>
        <bgColor rgb="FF000000"/>
      </patternFill>
    </fill>
    <fill>
      <patternFill patternType="solid">
        <fgColor rgb="FFFFFF00"/>
        <bgColor indexed="64"/>
      </patternFill>
    </fill>
    <fill>
      <patternFill patternType="solid">
        <fgColor theme="0" tint="-0.14999847407452621"/>
        <bgColor indexed="64"/>
      </patternFill>
    </fill>
  </fills>
  <borders count="80">
    <border>
      <left/>
      <right/>
      <top/>
      <bottom/>
      <diagonal/>
    </border>
    <border>
      <left style="medium">
        <color auto="1"/>
      </left>
      <right/>
      <top style="medium">
        <color auto="1"/>
      </top>
      <bottom style="thin">
        <color auto="1"/>
      </bottom>
      <diagonal/>
    </border>
    <border>
      <left style="medium">
        <color auto="1"/>
      </left>
      <right/>
      <top/>
      <bottom style="medium">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diagonal/>
    </border>
    <border>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medium">
        <color auto="1"/>
      </top>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right/>
      <top/>
      <bottom style="medium">
        <color rgb="FF000000"/>
      </bottom>
      <diagonal/>
    </border>
    <border>
      <left style="medium">
        <color rgb="FF000000"/>
      </left>
      <right/>
      <top/>
      <bottom style="medium">
        <color rgb="FF000000"/>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rgb="FF000000"/>
      </right>
      <top/>
      <bottom/>
      <diagonal/>
    </border>
    <border>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rgb="FF000000"/>
      </left>
      <right/>
      <top style="medium">
        <color rgb="FF000000"/>
      </top>
      <bottom style="medium">
        <color auto="1"/>
      </bottom>
      <diagonal/>
    </border>
    <border>
      <left/>
      <right/>
      <top style="medium">
        <color rgb="FF000000"/>
      </top>
      <bottom style="medium">
        <color auto="1"/>
      </bottom>
      <diagonal/>
    </border>
    <border>
      <left/>
      <right style="medium">
        <color rgb="FF000000"/>
      </right>
      <top style="medium">
        <color rgb="FF000000"/>
      </top>
      <bottom style="medium">
        <color auto="1"/>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
      <left/>
      <right/>
      <top style="thin">
        <color auto="1"/>
      </top>
      <bottom/>
      <diagonal/>
    </border>
    <border>
      <left style="medium">
        <color auto="1"/>
      </left>
      <right style="thin">
        <color auto="1"/>
      </right>
      <top style="thin">
        <color auto="1"/>
      </top>
      <bottom style="medium">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right/>
      <top style="medium">
        <color indexed="64"/>
      </top>
      <bottom style="thin">
        <color indexed="64"/>
      </bottom>
      <diagonal/>
    </border>
    <border>
      <left style="medium">
        <color auto="1"/>
      </left>
      <right style="thin">
        <color indexed="64"/>
      </right>
      <top/>
      <bottom/>
      <diagonal/>
    </border>
    <border>
      <left style="medium">
        <color auto="1"/>
      </left>
      <right style="thin">
        <color indexed="64"/>
      </right>
      <top/>
      <bottom style="medium">
        <color auto="1"/>
      </bottom>
      <diagonal/>
    </border>
    <border>
      <left style="medium">
        <color auto="1"/>
      </left>
      <right style="medium">
        <color rgb="FF000000"/>
      </right>
      <top style="medium">
        <color auto="1"/>
      </top>
      <bottom style="medium">
        <color auto="1"/>
      </bottom>
      <diagonal/>
    </border>
    <border>
      <left/>
      <right style="medium">
        <color rgb="FF000000"/>
      </right>
      <top style="medium">
        <color auto="1"/>
      </top>
      <bottom style="medium">
        <color auto="1"/>
      </bottom>
      <diagonal/>
    </border>
  </borders>
  <cellStyleXfs count="4">
    <xf numFmtId="0" fontId="0" fillId="0" borderId="0"/>
    <xf numFmtId="9" fontId="28" fillId="0" borderId="0" applyFont="0" applyFill="0" applyBorder="0" applyAlignment="0" applyProtection="0">
      <alignment vertical="center"/>
    </xf>
    <xf numFmtId="0" fontId="28" fillId="0" borderId="0">
      <alignment vertical="center"/>
    </xf>
    <xf numFmtId="0" fontId="1" fillId="0" borderId="0">
      <alignment vertical="center"/>
    </xf>
  </cellStyleXfs>
  <cellXfs count="622">
    <xf numFmtId="0" fontId="0" fillId="0" borderId="0" xfId="0"/>
    <xf numFmtId="0" fontId="2" fillId="0" borderId="0" xfId="0" applyFont="1"/>
    <xf numFmtId="0" fontId="3" fillId="0" borderId="0" xfId="0" applyFont="1"/>
    <xf numFmtId="0" fontId="2" fillId="0" borderId="0" xfId="0" applyFont="1" applyAlignment="1">
      <alignment horizontal="right"/>
    </xf>
    <xf numFmtId="49" fontId="2" fillId="0" borderId="0" xfId="0" applyNumberFormat="1" applyFont="1"/>
    <xf numFmtId="49" fontId="2" fillId="2" borderId="1" xfId="0" applyNumberFormat="1" applyFont="1" applyFill="1" applyBorder="1" applyAlignment="1">
      <alignment horizontal="center"/>
    </xf>
    <xf numFmtId="49" fontId="2" fillId="0" borderId="2" xfId="0" applyNumberFormat="1" applyFont="1" applyBorder="1"/>
    <xf numFmtId="49" fontId="2" fillId="0" borderId="3" xfId="0" applyNumberFormat="1" applyFont="1" applyBorder="1"/>
    <xf numFmtId="49" fontId="2" fillId="2" borderId="4" xfId="0" applyNumberFormat="1" applyFont="1" applyFill="1" applyBorder="1" applyAlignment="1">
      <alignment horizontal="center"/>
    </xf>
    <xf numFmtId="49" fontId="2" fillId="0" borderId="5" xfId="0" applyNumberFormat="1" applyFont="1" applyBorder="1"/>
    <xf numFmtId="14" fontId="2" fillId="0" borderId="0" xfId="0" applyNumberFormat="1" applyFont="1" applyAlignment="1">
      <alignment horizontal="left"/>
    </xf>
    <xf numFmtId="49" fontId="2" fillId="0" borderId="6" xfId="0" applyNumberFormat="1" applyFont="1" applyBorder="1"/>
    <xf numFmtId="49" fontId="2" fillId="0" borderId="6" xfId="0" applyNumberFormat="1" applyFont="1" applyBorder="1" applyAlignment="1">
      <alignment horizontal="right"/>
    </xf>
    <xf numFmtId="0" fontId="2" fillId="0" borderId="0" xfId="0" applyFont="1" applyAlignment="1">
      <alignment horizontal="center"/>
    </xf>
    <xf numFmtId="17" fontId="2" fillId="0" borderId="0" xfId="0" applyNumberFormat="1" applyFont="1"/>
    <xf numFmtId="49" fontId="2" fillId="0" borderId="7" xfId="0" applyNumberFormat="1" applyFont="1" applyBorder="1"/>
    <xf numFmtId="0" fontId="4" fillId="0" borderId="0" xfId="0" applyFont="1" applyAlignment="1">
      <alignment horizontal="right"/>
    </xf>
    <xf numFmtId="0" fontId="2" fillId="0" borderId="8" xfId="0" applyFont="1" applyBorder="1" applyAlignment="1">
      <alignment horizontal="right"/>
    </xf>
    <xf numFmtId="0" fontId="2" fillId="0" borderId="9" xfId="0" applyFont="1" applyBorder="1"/>
    <xf numFmtId="0" fontId="4" fillId="0" borderId="0" xfId="0" applyFont="1" applyAlignment="1">
      <alignment wrapText="1"/>
    </xf>
    <xf numFmtId="0" fontId="5" fillId="0" borderId="10" xfId="0" applyFont="1" applyBorder="1" applyAlignment="1">
      <alignment vertical="center" textRotation="90"/>
    </xf>
    <xf numFmtId="0" fontId="5" fillId="0" borderId="11" xfId="0" applyFont="1" applyBorder="1" applyAlignment="1">
      <alignment vertical="center" textRotation="90"/>
    </xf>
    <xf numFmtId="0" fontId="3" fillId="0" borderId="12" xfId="0" applyFont="1" applyBorder="1"/>
    <xf numFmtId="0" fontId="4" fillId="0" borderId="13" xfId="0" applyFont="1" applyBorder="1" applyAlignment="1">
      <alignment horizontal="right"/>
    </xf>
    <xf numFmtId="0" fontId="2" fillId="2" borderId="14" xfId="0" applyFont="1" applyFill="1" applyBorder="1"/>
    <xf numFmtId="0" fontId="6" fillId="0" borderId="15" xfId="0" applyFont="1" applyBorder="1" applyAlignment="1">
      <alignment horizontal="center"/>
    </xf>
    <xf numFmtId="0" fontId="6" fillId="0" borderId="16" xfId="0" applyFont="1" applyBorder="1" applyAlignment="1">
      <alignment horizontal="center"/>
    </xf>
    <xf numFmtId="0" fontId="4" fillId="0" borderId="3" xfId="0" applyFont="1" applyBorder="1"/>
    <xf numFmtId="0" fontId="4" fillId="0" borderId="6" xfId="0" applyFont="1" applyBorder="1"/>
    <xf numFmtId="2" fontId="7" fillId="0" borderId="17" xfId="0" applyNumberFormat="1" applyFont="1" applyBorder="1"/>
    <xf numFmtId="0" fontId="2" fillId="2" borderId="11" xfId="0" applyFont="1" applyFill="1" applyBorder="1"/>
    <xf numFmtId="0" fontId="5" fillId="0" borderId="3" xfId="0" applyFont="1" applyBorder="1" applyAlignment="1">
      <alignment vertical="center"/>
    </xf>
    <xf numFmtId="0" fontId="5" fillId="0" borderId="6" xfId="0" applyFont="1" applyBorder="1" applyAlignment="1">
      <alignment vertical="center" wrapText="1"/>
    </xf>
    <xf numFmtId="2" fontId="2" fillId="0" borderId="18" xfId="0" applyNumberFormat="1" applyFont="1" applyBorder="1"/>
    <xf numFmtId="1" fontId="2" fillId="0" borderId="19" xfId="0" applyNumberFormat="1" applyFont="1" applyBorder="1" applyAlignment="1">
      <alignment horizontal="center"/>
    </xf>
    <xf numFmtId="1" fontId="2" fillId="0" borderId="20" xfId="0" applyNumberFormat="1" applyFont="1" applyBorder="1" applyAlignment="1">
      <alignment horizontal="center"/>
    </xf>
    <xf numFmtId="2" fontId="2" fillId="0" borderId="21" xfId="0" applyNumberFormat="1" applyFont="1" applyBorder="1"/>
    <xf numFmtId="1" fontId="2" fillId="0" borderId="22" xfId="0" applyNumberFormat="1" applyFont="1" applyBorder="1" applyAlignment="1">
      <alignment horizontal="center"/>
    </xf>
    <xf numFmtId="1" fontId="2" fillId="0" borderId="6" xfId="0" applyNumberFormat="1" applyFont="1" applyBorder="1" applyAlignment="1">
      <alignment horizontal="center"/>
    </xf>
    <xf numFmtId="2" fontId="2" fillId="0" borderId="23" xfId="0" applyNumberFormat="1" applyFont="1" applyBorder="1"/>
    <xf numFmtId="1" fontId="2" fillId="0" borderId="9" xfId="0" applyNumberFormat="1" applyFont="1" applyBorder="1" applyAlignment="1">
      <alignment horizontal="center"/>
    </xf>
    <xf numFmtId="1" fontId="2" fillId="0" borderId="5" xfId="0" applyNumberFormat="1" applyFont="1" applyBorder="1" applyAlignment="1">
      <alignment horizontal="center"/>
    </xf>
    <xf numFmtId="0" fontId="8" fillId="0" borderId="6" xfId="0" applyFont="1" applyBorder="1" applyAlignment="1">
      <alignment vertical="center" wrapText="1"/>
    </xf>
    <xf numFmtId="0" fontId="8" fillId="0" borderId="25" xfId="0" applyFont="1" applyBorder="1" applyAlignment="1">
      <alignment vertical="center" wrapText="1"/>
    </xf>
    <xf numFmtId="2" fontId="2" fillId="0" borderId="26" xfId="0" applyNumberFormat="1" applyFont="1" applyBorder="1"/>
    <xf numFmtId="0" fontId="2" fillId="0" borderId="20" xfId="0" applyFont="1" applyBorder="1"/>
    <xf numFmtId="0" fontId="2" fillId="0" borderId="6" xfId="0" applyFont="1" applyBorder="1"/>
    <xf numFmtId="0" fontId="3" fillId="0" borderId="6" xfId="0" applyFont="1" applyBorder="1"/>
    <xf numFmtId="1" fontId="2" fillId="0" borderId="6" xfId="1" applyNumberFormat="1" applyFont="1" applyBorder="1" applyAlignment="1"/>
    <xf numFmtId="0" fontId="2" fillId="0" borderId="25" xfId="0" applyFont="1" applyBorder="1"/>
    <xf numFmtId="49" fontId="2" fillId="2" borderId="30" xfId="0" applyNumberFormat="1" applyFont="1" applyFill="1" applyBorder="1" applyAlignment="1">
      <alignment horizontal="center"/>
    </xf>
    <xf numFmtId="49" fontId="2" fillId="0" borderId="22" xfId="0" applyNumberFormat="1" applyFont="1" applyBorder="1"/>
    <xf numFmtId="49" fontId="6" fillId="2" borderId="31" xfId="0" applyNumberFormat="1" applyFont="1" applyFill="1" applyBorder="1" applyAlignment="1">
      <alignment horizontal="center"/>
    </xf>
    <xf numFmtId="49" fontId="2" fillId="0" borderId="32" xfId="0" applyNumberFormat="1" applyFont="1" applyBorder="1" applyAlignment="1">
      <alignment horizontal="right"/>
    </xf>
    <xf numFmtId="49" fontId="2" fillId="2" borderId="33" xfId="0" applyNumberFormat="1" applyFont="1" applyFill="1" applyBorder="1" applyAlignment="1">
      <alignment horizontal="center"/>
    </xf>
    <xf numFmtId="49" fontId="2" fillId="0" borderId="34" xfId="0" applyNumberFormat="1" applyFont="1" applyBorder="1"/>
    <xf numFmtId="49" fontId="2" fillId="0" borderId="9" xfId="0" applyNumberFormat="1" applyFont="1" applyBorder="1"/>
    <xf numFmtId="0" fontId="2" fillId="0" borderId="13" xfId="0" applyFont="1" applyBorder="1"/>
    <xf numFmtId="49" fontId="5" fillId="0" borderId="0" xfId="0" applyNumberFormat="1" applyFont="1" applyAlignment="1">
      <alignment vertical="center"/>
    </xf>
    <xf numFmtId="0" fontId="5" fillId="0" borderId="35" xfId="0" applyFont="1" applyBorder="1" applyAlignment="1">
      <alignment vertical="center" textRotation="90"/>
    </xf>
    <xf numFmtId="0" fontId="6" fillId="0" borderId="36"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1" fontId="2" fillId="0" borderId="38" xfId="0" applyNumberFormat="1" applyFont="1" applyBorder="1" applyAlignment="1">
      <alignment horizontal="center"/>
    </xf>
    <xf numFmtId="1" fontId="2" fillId="0" borderId="39" xfId="0" applyNumberFormat="1" applyFont="1" applyBorder="1" applyAlignment="1">
      <alignment horizontal="center"/>
    </xf>
    <xf numFmtId="1" fontId="2" fillId="0" borderId="40" xfId="0" applyNumberFormat="1"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38" xfId="0" applyFont="1" applyBorder="1"/>
    <xf numFmtId="0" fontId="2" fillId="0" borderId="39" xfId="0" applyFont="1" applyBorder="1"/>
    <xf numFmtId="0" fontId="3" fillId="0" borderId="39" xfId="0" applyFont="1" applyBorder="1"/>
    <xf numFmtId="1" fontId="2" fillId="0" borderId="39" xfId="1" applyNumberFormat="1" applyFont="1" applyBorder="1" applyAlignment="1"/>
    <xf numFmtId="0" fontId="2" fillId="0" borderId="41" xfId="0" applyFont="1" applyBorder="1"/>
    <xf numFmtId="0" fontId="2" fillId="0" borderId="39" xfId="0" applyFont="1" applyBorder="1" applyAlignment="1">
      <alignment horizontal="center"/>
    </xf>
    <xf numFmtId="164" fontId="2" fillId="0" borderId="6" xfId="0" applyNumberFormat="1" applyFont="1" applyBorder="1"/>
    <xf numFmtId="164" fontId="2" fillId="0" borderId="39" xfId="0" applyNumberFormat="1" applyFont="1" applyBorder="1"/>
    <xf numFmtId="164" fontId="2" fillId="0" borderId="3" xfId="0" applyNumberFormat="1" applyFont="1" applyBorder="1"/>
    <xf numFmtId="164" fontId="6" fillId="0" borderId="6" xfId="0" applyNumberFormat="1" applyFont="1" applyBorder="1"/>
    <xf numFmtId="164" fontId="2" fillId="0" borderId="25" xfId="0" applyNumberFormat="1" applyFont="1" applyBorder="1"/>
    <xf numFmtId="164" fontId="2" fillId="0" borderId="41" xfId="0" applyNumberFormat="1" applyFont="1" applyBorder="1"/>
    <xf numFmtId="164" fontId="2" fillId="0" borderId="24" xfId="0" applyNumberFormat="1" applyFont="1" applyBorder="1"/>
    <xf numFmtId="164" fontId="6" fillId="0" borderId="25" xfId="0" applyNumberFormat="1" applyFont="1" applyBorder="1"/>
    <xf numFmtId="164" fontId="3" fillId="0" borderId="0" xfId="0" applyNumberFormat="1" applyFont="1"/>
    <xf numFmtId="0" fontId="2" fillId="0" borderId="42" xfId="0" applyFont="1" applyBorder="1"/>
    <xf numFmtId="0" fontId="2" fillId="0" borderId="43" xfId="0" applyFont="1" applyBorder="1"/>
    <xf numFmtId="0" fontId="5" fillId="0" borderId="0" xfId="0" applyFont="1" applyAlignment="1">
      <alignment vertical="center"/>
    </xf>
    <xf numFmtId="165" fontId="2" fillId="0" borderId="0" xfId="0" applyNumberFormat="1" applyFont="1"/>
    <xf numFmtId="0" fontId="2" fillId="0" borderId="44" xfId="0" applyFont="1" applyBorder="1"/>
    <xf numFmtId="0" fontId="5" fillId="0" borderId="6" xfId="0" applyFont="1" applyBorder="1" applyAlignment="1">
      <alignment vertical="center"/>
    </xf>
    <xf numFmtId="0" fontId="5" fillId="0" borderId="0" xfId="0" applyFont="1" applyAlignment="1">
      <alignment vertical="center" wrapText="1"/>
    </xf>
    <xf numFmtId="0" fontId="5" fillId="3" borderId="6" xfId="0" applyFont="1" applyFill="1" applyBorder="1" applyAlignment="1">
      <alignment horizontal="left" vertical="center" textRotation="90" wrapText="1"/>
    </xf>
    <xf numFmtId="0" fontId="5" fillId="4" borderId="6" xfId="0" applyFont="1" applyFill="1" applyBorder="1" applyAlignment="1">
      <alignment horizontal="left" vertical="center" textRotation="90" wrapText="1"/>
    </xf>
    <xf numFmtId="0" fontId="5" fillId="5" borderId="6" xfId="0" applyFont="1" applyFill="1" applyBorder="1" applyAlignment="1">
      <alignment horizontal="left" vertical="center" textRotation="90" wrapText="1"/>
    </xf>
    <xf numFmtId="0" fontId="5" fillId="3" borderId="6" xfId="0" applyFont="1" applyFill="1" applyBorder="1" applyAlignment="1">
      <alignment vertical="center" wrapText="1"/>
    </xf>
    <xf numFmtId="0" fontId="5" fillId="4" borderId="6" xfId="0" applyFont="1" applyFill="1" applyBorder="1" applyAlignment="1">
      <alignment vertical="center" wrapText="1"/>
    </xf>
    <xf numFmtId="0" fontId="5" fillId="5" borderId="6" xfId="0" applyFont="1" applyFill="1" applyBorder="1" applyAlignment="1">
      <alignment vertical="center" wrapText="1"/>
    </xf>
    <xf numFmtId="0" fontId="9" fillId="0" borderId="6" xfId="0" applyFont="1" applyBorder="1" applyAlignment="1">
      <alignment vertical="center" wrapText="1"/>
    </xf>
    <xf numFmtId="0" fontId="5" fillId="6" borderId="6" xfId="0" applyFont="1" applyFill="1" applyBorder="1" applyAlignment="1">
      <alignment horizontal="left" vertical="center" textRotation="90" wrapText="1"/>
    </xf>
    <xf numFmtId="0" fontId="5" fillId="7" borderId="6" xfId="0" applyFont="1" applyFill="1" applyBorder="1" applyAlignment="1">
      <alignment horizontal="left" vertical="center" textRotation="90" wrapText="1"/>
    </xf>
    <xf numFmtId="0" fontId="5" fillId="6" borderId="6" xfId="0" applyFont="1" applyFill="1" applyBorder="1" applyAlignment="1">
      <alignment vertical="center" wrapText="1"/>
    </xf>
    <xf numFmtId="0" fontId="5" fillId="7" borderId="6" xfId="0" applyFont="1" applyFill="1" applyBorder="1" applyAlignment="1">
      <alignment vertical="center" wrapText="1"/>
    </xf>
    <xf numFmtId="0" fontId="9" fillId="0" borderId="0" xfId="0" applyFont="1" applyAlignment="1">
      <alignment vertical="center" wrapText="1"/>
    </xf>
    <xf numFmtId="0" fontId="9" fillId="0" borderId="45" xfId="0" applyFont="1" applyBorder="1" applyAlignment="1">
      <alignment vertical="center" wrapText="1"/>
    </xf>
    <xf numFmtId="0" fontId="9" fillId="0" borderId="16" xfId="0" applyFont="1" applyBorder="1" applyAlignment="1">
      <alignment vertical="center" wrapText="1"/>
    </xf>
    <xf numFmtId="0" fontId="9" fillId="0" borderId="36" xfId="0" applyFont="1" applyBorder="1" applyAlignment="1">
      <alignment vertical="center" wrapText="1"/>
    </xf>
    <xf numFmtId="0" fontId="9" fillId="0" borderId="27" xfId="0" applyFont="1" applyBorder="1" applyAlignment="1">
      <alignment vertical="center" wrapText="1"/>
    </xf>
    <xf numFmtId="0" fontId="5" fillId="0" borderId="28" xfId="0" applyFont="1" applyBorder="1" applyAlignment="1">
      <alignment vertical="center" wrapText="1"/>
    </xf>
    <xf numFmtId="0" fontId="5" fillId="0" borderId="46" xfId="0" applyFont="1" applyBorder="1" applyAlignment="1">
      <alignment vertical="center" wrapText="1"/>
    </xf>
    <xf numFmtId="0" fontId="9" fillId="0" borderId="3" xfId="0" applyFont="1" applyBorder="1" applyAlignment="1">
      <alignment vertical="center" wrapText="1"/>
    </xf>
    <xf numFmtId="0" fontId="5" fillId="0" borderId="39" xfId="0" applyFont="1" applyBorder="1" applyAlignment="1">
      <alignment vertical="center" wrapText="1"/>
    </xf>
    <xf numFmtId="0" fontId="10" fillId="0" borderId="6" xfId="0" applyFont="1" applyBorder="1" applyAlignment="1">
      <alignment vertical="center" wrapText="1"/>
    </xf>
    <xf numFmtId="0" fontId="10" fillId="0" borderId="39" xfId="0" applyFont="1" applyBorder="1" applyAlignment="1">
      <alignment vertical="center" wrapText="1"/>
    </xf>
    <xf numFmtId="0" fontId="9" fillId="0" borderId="24" xfId="0" applyFont="1" applyBorder="1" applyAlignment="1">
      <alignment vertical="center" wrapText="1"/>
    </xf>
    <xf numFmtId="0" fontId="5" fillId="0" borderId="25" xfId="0" applyFont="1" applyBorder="1" applyAlignment="1">
      <alignment vertical="center" wrapText="1"/>
    </xf>
    <xf numFmtId="0" fontId="5" fillId="0" borderId="41" xfId="0" applyFont="1" applyBorder="1" applyAlignment="1">
      <alignment vertical="center" wrapText="1"/>
    </xf>
    <xf numFmtId="0" fontId="11" fillId="0" borderId="0" xfId="0" applyFont="1"/>
    <xf numFmtId="0" fontId="11" fillId="8" borderId="0" xfId="0" applyFont="1" applyFill="1"/>
    <xf numFmtId="0" fontId="12" fillId="0" borderId="0" xfId="0" applyFont="1"/>
    <xf numFmtId="0" fontId="13" fillId="0" borderId="0" xfId="0" applyFont="1"/>
    <xf numFmtId="0" fontId="13" fillId="0" borderId="47" xfId="0" applyFont="1" applyBorder="1"/>
    <xf numFmtId="0" fontId="12" fillId="9" borderId="48" xfId="0" applyFont="1" applyFill="1" applyBorder="1"/>
    <xf numFmtId="0" fontId="13" fillId="9" borderId="47" xfId="0" applyFont="1" applyFill="1" applyBorder="1"/>
    <xf numFmtId="0" fontId="14" fillId="0" borderId="2" xfId="0" applyFont="1" applyBorder="1"/>
    <xf numFmtId="0" fontId="14" fillId="0" borderId="49" xfId="0" applyFont="1" applyBorder="1"/>
    <xf numFmtId="0" fontId="14" fillId="0" borderId="50" xfId="0" applyFont="1" applyBorder="1"/>
    <xf numFmtId="0" fontId="15" fillId="0" borderId="0" xfId="0" applyFont="1"/>
    <xf numFmtId="0" fontId="16" fillId="0" borderId="17" xfId="0" applyFont="1" applyBorder="1"/>
    <xf numFmtId="0" fontId="13" fillId="0" borderId="51" xfId="0" applyFont="1" applyBorder="1"/>
    <xf numFmtId="0" fontId="13" fillId="0" borderId="17" xfId="0" applyFont="1" applyBorder="1"/>
    <xf numFmtId="0" fontId="11" fillId="0" borderId="17" xfId="0" applyFont="1" applyBorder="1"/>
    <xf numFmtId="3" fontId="13" fillId="0" borderId="51" xfId="0" applyNumberFormat="1" applyFont="1" applyBorder="1"/>
    <xf numFmtId="9" fontId="13" fillId="0" borderId="51" xfId="0" applyNumberFormat="1" applyFont="1" applyBorder="1"/>
    <xf numFmtId="9" fontId="13" fillId="0" borderId="0" xfId="0" applyNumberFormat="1" applyFont="1"/>
    <xf numFmtId="9" fontId="13" fillId="0" borderId="17" xfId="0" applyNumberFormat="1" applyFont="1" applyBorder="1"/>
    <xf numFmtId="0" fontId="13" fillId="0" borderId="2" xfId="0" applyFont="1" applyBorder="1"/>
    <xf numFmtId="0" fontId="13" fillId="0" borderId="49" xfId="0" applyFont="1" applyBorder="1"/>
    <xf numFmtId="0" fontId="13" fillId="0" borderId="50" xfId="0" applyFont="1" applyBorder="1"/>
    <xf numFmtId="0" fontId="13" fillId="0" borderId="52" xfId="0" applyFont="1" applyBorder="1"/>
    <xf numFmtId="0" fontId="13" fillId="0" borderId="53" xfId="0" applyFont="1" applyBorder="1"/>
    <xf numFmtId="0" fontId="12" fillId="0" borderId="54" xfId="0" applyFont="1" applyBorder="1" applyAlignment="1">
      <alignment horizontal="center"/>
    </xf>
    <xf numFmtId="0" fontId="17" fillId="0" borderId="11" xfId="0" applyFont="1" applyBorder="1"/>
    <xf numFmtId="0" fontId="13" fillId="0" borderId="11" xfId="0" applyFont="1" applyBorder="1"/>
    <xf numFmtId="0" fontId="12" fillId="0" borderId="42" xfId="0" applyFont="1" applyBorder="1" applyAlignment="1">
      <alignment horizontal="center"/>
    </xf>
    <xf numFmtId="0" fontId="13" fillId="0" borderId="13" xfId="0" applyFont="1" applyBorder="1"/>
    <xf numFmtId="0" fontId="12" fillId="0" borderId="43" xfId="0" applyFont="1" applyBorder="1" applyAlignment="1">
      <alignment horizontal="center"/>
    </xf>
    <xf numFmtId="0" fontId="12" fillId="0" borderId="44" xfId="0" applyFont="1" applyBorder="1" applyAlignment="1">
      <alignment horizontal="center"/>
    </xf>
    <xf numFmtId="0" fontId="12" fillId="0" borderId="47" xfId="0" applyFont="1" applyBorder="1"/>
    <xf numFmtId="0" fontId="12" fillId="10" borderId="48" xfId="0" applyFont="1" applyFill="1" applyBorder="1"/>
    <xf numFmtId="0" fontId="13" fillId="10" borderId="47" xfId="0" applyFont="1" applyFill="1" applyBorder="1"/>
    <xf numFmtId="0" fontId="14" fillId="0" borderId="51" xfId="0" applyFont="1" applyBorder="1"/>
    <xf numFmtId="0" fontId="14" fillId="0" borderId="0" xfId="0" applyFont="1"/>
    <xf numFmtId="0" fontId="14" fillId="0" borderId="17" xfId="0" applyFont="1" applyBorder="1"/>
    <xf numFmtId="0" fontId="12" fillId="0" borderId="10" xfId="0" applyFont="1" applyBorder="1"/>
    <xf numFmtId="0" fontId="12" fillId="0" borderId="35" xfId="0" applyFont="1" applyBorder="1"/>
    <xf numFmtId="0" fontId="16" fillId="0" borderId="0" xfId="0" applyFont="1"/>
    <xf numFmtId="9" fontId="18" fillId="0" borderId="12" xfId="0" applyNumberFormat="1" applyFont="1" applyBorder="1" applyAlignment="1">
      <alignment horizontal="right" vertical="center"/>
    </xf>
    <xf numFmtId="9" fontId="18" fillId="0" borderId="13" xfId="0" applyNumberFormat="1" applyFont="1" applyBorder="1" applyAlignment="1">
      <alignment horizontal="right" vertical="center"/>
    </xf>
    <xf numFmtId="9" fontId="18" fillId="0" borderId="14" xfId="0" applyNumberFormat="1" applyFont="1" applyBorder="1" applyAlignment="1">
      <alignment horizontal="right" vertical="center"/>
    </xf>
    <xf numFmtId="0" fontId="19" fillId="0" borderId="0" xfId="0" applyFont="1" applyAlignment="1">
      <alignment horizontal="right"/>
    </xf>
    <xf numFmtId="9" fontId="19" fillId="0" borderId="52" xfId="0" applyNumberFormat="1" applyFont="1" applyBorder="1" applyAlignment="1">
      <alignment horizontal="right"/>
    </xf>
    <xf numFmtId="9" fontId="18" fillId="0" borderId="51" xfId="0" applyNumberFormat="1" applyFont="1" applyBorder="1" applyAlignment="1">
      <alignment horizontal="right" vertical="center"/>
    </xf>
    <xf numFmtId="9" fontId="18" fillId="0" borderId="0" xfId="0" applyNumberFormat="1" applyFont="1" applyAlignment="1">
      <alignment horizontal="right" vertical="center"/>
    </xf>
    <xf numFmtId="9" fontId="18" fillId="0" borderId="17" xfId="0" applyNumberFormat="1" applyFont="1" applyBorder="1" applyAlignment="1">
      <alignment horizontal="right" vertical="center"/>
    </xf>
    <xf numFmtId="6" fontId="19" fillId="0" borderId="52" xfId="0" applyNumberFormat="1" applyFont="1" applyBorder="1" applyAlignment="1">
      <alignment horizontal="right"/>
    </xf>
    <xf numFmtId="0" fontId="18" fillId="0" borderId="51" xfId="0" applyFont="1" applyBorder="1" applyAlignment="1">
      <alignment horizontal="right" vertical="center"/>
    </xf>
    <xf numFmtId="0" fontId="18" fillId="0" borderId="0" xfId="0" applyFont="1" applyAlignment="1">
      <alignment horizontal="right" vertical="center"/>
    </xf>
    <xf numFmtId="0" fontId="18" fillId="0" borderId="17" xfId="0" applyFont="1" applyBorder="1" applyAlignment="1">
      <alignment horizontal="right" vertical="center"/>
    </xf>
    <xf numFmtId="0" fontId="19" fillId="0" borderId="52" xfId="0" applyFont="1" applyBorder="1" applyAlignment="1">
      <alignment horizontal="right"/>
    </xf>
    <xf numFmtId="0" fontId="19" fillId="0" borderId="47" xfId="0" applyFont="1" applyBorder="1" applyAlignment="1">
      <alignment horizontal="right"/>
    </xf>
    <xf numFmtId="0" fontId="19" fillId="0" borderId="53" xfId="0" applyFont="1" applyBorder="1" applyAlignment="1">
      <alignment horizontal="right"/>
    </xf>
    <xf numFmtId="0" fontId="12" fillId="11" borderId="48" xfId="0" applyFont="1" applyFill="1" applyBorder="1"/>
    <xf numFmtId="0" fontId="13" fillId="11" borderId="47" xfId="0" applyFont="1" applyFill="1" applyBorder="1"/>
    <xf numFmtId="0" fontId="20" fillId="12" borderId="10" xfId="0" applyFont="1" applyFill="1" applyBorder="1"/>
    <xf numFmtId="2" fontId="13" fillId="13" borderId="0" xfId="0" applyNumberFormat="1" applyFont="1" applyFill="1"/>
    <xf numFmtId="0" fontId="18" fillId="0" borderId="2" xfId="0" applyFont="1" applyBorder="1" applyAlignment="1">
      <alignment horizontal="right" vertical="center"/>
    </xf>
    <xf numFmtId="0" fontId="18" fillId="0" borderId="49" xfId="0" applyFont="1" applyBorder="1" applyAlignment="1">
      <alignment horizontal="right" vertical="center"/>
    </xf>
    <xf numFmtId="0" fontId="18" fillId="0" borderId="50" xfId="0" applyFont="1" applyBorder="1" applyAlignment="1">
      <alignment horizontal="right" vertical="center"/>
    </xf>
    <xf numFmtId="2" fontId="13" fillId="13" borderId="47" xfId="0" applyNumberFormat="1" applyFont="1" applyFill="1" applyBorder="1"/>
    <xf numFmtId="0" fontId="17" fillId="14" borderId="0" xfId="0" applyFont="1" applyFill="1" applyAlignment="1">
      <alignment vertical="center"/>
    </xf>
    <xf numFmtId="0" fontId="13" fillId="14" borderId="0" xfId="0" applyFont="1" applyFill="1"/>
    <xf numFmtId="0" fontId="14" fillId="0" borderId="10" xfId="0" applyFont="1" applyBorder="1"/>
    <xf numFmtId="0" fontId="14" fillId="0" borderId="11" xfId="0" applyFont="1" applyBorder="1"/>
    <xf numFmtId="0" fontId="14" fillId="0" borderId="35" xfId="0" applyFont="1" applyBorder="1"/>
    <xf numFmtId="9" fontId="18" fillId="0" borderId="12" xfId="0" applyNumberFormat="1" applyFont="1" applyBorder="1" applyAlignment="1">
      <alignment vertical="center"/>
    </xf>
    <xf numFmtId="9" fontId="18" fillId="0" borderId="13" xfId="0" applyNumberFormat="1" applyFont="1" applyBorder="1" applyAlignment="1">
      <alignment vertical="center"/>
    </xf>
    <xf numFmtId="9" fontId="18" fillId="0" borderId="14" xfId="0" applyNumberFormat="1" applyFont="1" applyBorder="1" applyAlignment="1">
      <alignment vertical="center"/>
    </xf>
    <xf numFmtId="0" fontId="13" fillId="0" borderId="0" xfId="0" applyFont="1" applyAlignment="1">
      <alignment horizontal="left"/>
    </xf>
    <xf numFmtId="2" fontId="15" fillId="0" borderId="49" xfId="0" applyNumberFormat="1" applyFont="1" applyBorder="1" applyAlignment="1">
      <alignment horizontal="right"/>
    </xf>
    <xf numFmtId="2" fontId="15" fillId="0" borderId="50" xfId="0" applyNumberFormat="1" applyFont="1" applyBorder="1" applyAlignment="1">
      <alignment horizontal="right"/>
    </xf>
    <xf numFmtId="0" fontId="13" fillId="0" borderId="35" xfId="0" applyFont="1" applyBorder="1"/>
    <xf numFmtId="0" fontId="13" fillId="0" borderId="14" xfId="0" applyFont="1" applyBorder="1"/>
    <xf numFmtId="0" fontId="20" fillId="12" borderId="11" xfId="0" applyFont="1" applyFill="1" applyBorder="1"/>
    <xf numFmtId="0" fontId="20" fillId="12" borderId="35" xfId="0" applyFont="1" applyFill="1" applyBorder="1"/>
    <xf numFmtId="2" fontId="13" fillId="13" borderId="52" xfId="0" applyNumberFormat="1" applyFont="1" applyFill="1" applyBorder="1"/>
    <xf numFmtId="2" fontId="13" fillId="13" borderId="53" xfId="0" applyNumberFormat="1" applyFont="1" applyFill="1" applyBorder="1"/>
    <xf numFmtId="0" fontId="15" fillId="0" borderId="0" xfId="0" applyFont="1" applyAlignment="1">
      <alignment horizontal="left"/>
    </xf>
    <xf numFmtId="0" fontId="13" fillId="0" borderId="0" xfId="0" applyFont="1" applyAlignment="1">
      <alignment vertical="center"/>
    </xf>
    <xf numFmtId="2" fontId="15" fillId="0" borderId="17" xfId="0" applyNumberFormat="1" applyFont="1" applyBorder="1" applyAlignment="1">
      <alignment horizontal="right"/>
    </xf>
    <xf numFmtId="2" fontId="13" fillId="0" borderId="50" xfId="0" applyNumberFormat="1" applyFont="1" applyBorder="1"/>
    <xf numFmtId="2" fontId="13" fillId="0" borderId="0" xfId="0" applyNumberFormat="1" applyFont="1"/>
    <xf numFmtId="0" fontId="18" fillId="0" borderId="12" xfId="0" applyFont="1" applyBorder="1" applyAlignment="1">
      <alignment horizontal="right" vertical="center"/>
    </xf>
    <xf numFmtId="0" fontId="18" fillId="0" borderId="13" xfId="0" applyFont="1" applyBorder="1" applyAlignment="1">
      <alignment horizontal="right" vertical="center"/>
    </xf>
    <xf numFmtId="0" fontId="18" fillId="0" borderId="14" xfId="0" applyFont="1" applyBorder="1" applyAlignment="1">
      <alignment horizontal="right" vertical="center"/>
    </xf>
    <xf numFmtId="0" fontId="12" fillId="0" borderId="54" xfId="0" applyFont="1" applyBorder="1" applyAlignment="1">
      <alignment horizontal="center" wrapText="1"/>
    </xf>
    <xf numFmtId="0" fontId="17" fillId="0" borderId="54" xfId="0" applyFont="1" applyBorder="1"/>
    <xf numFmtId="0" fontId="13" fillId="0" borderId="51" xfId="0" applyFont="1" applyBorder="1" applyAlignment="1">
      <alignment horizontal="right"/>
    </xf>
    <xf numFmtId="0" fontId="13" fillId="0" borderId="0" xfId="0" applyFont="1" applyAlignment="1">
      <alignment horizontal="right"/>
    </xf>
    <xf numFmtId="0" fontId="13" fillId="0" borderId="17" xfId="0" applyFont="1" applyBorder="1" applyAlignment="1">
      <alignment horizontal="right"/>
    </xf>
    <xf numFmtId="0" fontId="15" fillId="0" borderId="43" xfId="0" applyFont="1" applyBorder="1" applyAlignment="1">
      <alignment horizontal="right"/>
    </xf>
    <xf numFmtId="0" fontId="13" fillId="0" borderId="43" xfId="0" applyFont="1" applyBorder="1"/>
    <xf numFmtId="0" fontId="15" fillId="0" borderId="44" xfId="0" applyFont="1" applyBorder="1" applyAlignment="1">
      <alignment horizontal="right"/>
    </xf>
    <xf numFmtId="0" fontId="13" fillId="0" borderId="44" xfId="0" applyFont="1" applyBorder="1"/>
    <xf numFmtId="0" fontId="13" fillId="0" borderId="2" xfId="0" applyFont="1" applyBorder="1" applyAlignment="1">
      <alignment horizontal="right"/>
    </xf>
    <xf numFmtId="0" fontId="13" fillId="0" borderId="49" xfId="0" applyFont="1" applyBorder="1" applyAlignment="1">
      <alignment horizontal="right"/>
    </xf>
    <xf numFmtId="0" fontId="13" fillId="0" borderId="50" xfId="0" applyFont="1" applyBorder="1" applyAlignment="1">
      <alignment horizontal="right"/>
    </xf>
    <xf numFmtId="0" fontId="15" fillId="0" borderId="51" xfId="0" applyFont="1" applyBorder="1" applyAlignment="1">
      <alignment horizontal="right"/>
    </xf>
    <xf numFmtId="0" fontId="15" fillId="0" borderId="0" xfId="0" applyFont="1" applyAlignment="1">
      <alignment horizontal="right"/>
    </xf>
    <xf numFmtId="0" fontId="15" fillId="0" borderId="17" xfId="0" applyFont="1" applyBorder="1" applyAlignment="1">
      <alignment horizontal="right"/>
    </xf>
    <xf numFmtId="0" fontId="11" fillId="0" borderId="51" xfId="0" applyFont="1" applyBorder="1" applyAlignment="1">
      <alignment horizontal="right"/>
    </xf>
    <xf numFmtId="0" fontId="11" fillId="0" borderId="0" xfId="0" applyFont="1" applyAlignment="1">
      <alignment horizontal="right"/>
    </xf>
    <xf numFmtId="0" fontId="11" fillId="0" borderId="17" xfId="0" applyFont="1" applyBorder="1" applyAlignment="1">
      <alignment horizontal="right"/>
    </xf>
    <xf numFmtId="2" fontId="15" fillId="0" borderId="51" xfId="0" applyNumberFormat="1" applyFont="1" applyBorder="1" applyAlignment="1">
      <alignment horizontal="right"/>
    </xf>
    <xf numFmtId="2" fontId="15" fillId="0" borderId="0" xfId="0" applyNumberFormat="1" applyFont="1" applyAlignment="1">
      <alignment horizontal="right"/>
    </xf>
    <xf numFmtId="2" fontId="15" fillId="0" borderId="2" xfId="0" applyNumberFormat="1" applyFont="1" applyBorder="1" applyAlignment="1">
      <alignment horizontal="right"/>
    </xf>
    <xf numFmtId="0" fontId="20" fillId="12" borderId="12" xfId="0" applyFont="1" applyFill="1" applyBorder="1"/>
    <xf numFmtId="0" fontId="13" fillId="0" borderId="51" xfId="0" applyFont="1" applyBorder="1" applyAlignment="1">
      <alignment horizontal="center"/>
    </xf>
    <xf numFmtId="0" fontId="13" fillId="0" borderId="0" xfId="0" applyFont="1" applyAlignment="1">
      <alignment horizontal="center"/>
    </xf>
    <xf numFmtId="2" fontId="19" fillId="12" borderId="12" xfId="0" applyNumberFormat="1" applyFont="1" applyFill="1" applyBorder="1" applyAlignment="1">
      <alignment horizontal="right"/>
    </xf>
    <xf numFmtId="4" fontId="15" fillId="0" borderId="0" xfId="0" applyNumberFormat="1" applyFont="1" applyAlignment="1">
      <alignment horizontal="center"/>
    </xf>
    <xf numFmtId="2" fontId="19" fillId="12" borderId="51" xfId="0" applyNumberFormat="1" applyFont="1" applyFill="1" applyBorder="1" applyAlignment="1">
      <alignment horizontal="right"/>
    </xf>
    <xf numFmtId="164" fontId="15" fillId="0" borderId="51" xfId="0" applyNumberFormat="1" applyFont="1" applyBorder="1" applyAlignment="1">
      <alignment horizontal="center"/>
    </xf>
    <xf numFmtId="164" fontId="15" fillId="0" borderId="0" xfId="0" applyNumberFormat="1" applyFont="1" applyAlignment="1">
      <alignment horizontal="center"/>
    </xf>
    <xf numFmtId="9" fontId="13" fillId="0" borderId="0" xfId="0" applyNumberFormat="1" applyFont="1" applyAlignment="1">
      <alignment horizontal="center"/>
    </xf>
    <xf numFmtId="0" fontId="13" fillId="0" borderId="2" xfId="0" applyFont="1" applyBorder="1" applyAlignment="1">
      <alignment horizontal="center"/>
    </xf>
    <xf numFmtId="0" fontId="13" fillId="0" borderId="49" xfId="0" applyFont="1" applyBorder="1" applyAlignment="1">
      <alignment horizontal="center"/>
    </xf>
    <xf numFmtId="2" fontId="19" fillId="12" borderId="2" xfId="0" applyNumberFormat="1" applyFont="1" applyFill="1" applyBorder="1" applyAlignment="1">
      <alignment horizontal="right"/>
    </xf>
    <xf numFmtId="2" fontId="21" fillId="12" borderId="47" xfId="0" applyNumberFormat="1" applyFont="1" applyFill="1" applyBorder="1" applyAlignment="1">
      <alignment horizontal="right"/>
    </xf>
    <xf numFmtId="2" fontId="13" fillId="0" borderId="47" xfId="0" applyNumberFormat="1" applyFont="1" applyBorder="1"/>
    <xf numFmtId="0" fontId="20" fillId="12" borderId="13" xfId="0" applyFont="1" applyFill="1" applyBorder="1"/>
    <xf numFmtId="0" fontId="20" fillId="12" borderId="14" xfId="0" applyFont="1" applyFill="1" applyBorder="1"/>
    <xf numFmtId="2" fontId="19" fillId="12" borderId="13" xfId="0" applyNumberFormat="1" applyFont="1" applyFill="1" applyBorder="1" applyAlignment="1">
      <alignment horizontal="right"/>
    </xf>
    <xf numFmtId="2" fontId="19" fillId="12" borderId="14" xfId="0" applyNumberFormat="1" applyFont="1" applyFill="1" applyBorder="1" applyAlignment="1">
      <alignment horizontal="right"/>
    </xf>
    <xf numFmtId="2" fontId="19" fillId="12" borderId="0" xfId="0" applyNumberFormat="1" applyFont="1" applyFill="1" applyAlignment="1">
      <alignment horizontal="right"/>
    </xf>
    <xf numFmtId="2" fontId="19" fillId="12" borderId="17" xfId="0" applyNumberFormat="1" applyFont="1" applyFill="1" applyBorder="1" applyAlignment="1">
      <alignment horizontal="right"/>
    </xf>
    <xf numFmtId="2" fontId="19" fillId="12" borderId="49" xfId="0" applyNumberFormat="1" applyFont="1" applyFill="1" applyBorder="1" applyAlignment="1">
      <alignment horizontal="right"/>
    </xf>
    <xf numFmtId="2" fontId="19" fillId="12" borderId="50" xfId="0" applyNumberFormat="1" applyFont="1" applyFill="1" applyBorder="1" applyAlignment="1">
      <alignment horizontal="right"/>
    </xf>
    <xf numFmtId="2" fontId="21" fillId="12" borderId="53" xfId="0" applyNumberFormat="1" applyFont="1" applyFill="1" applyBorder="1" applyAlignment="1">
      <alignment horizontal="right"/>
    </xf>
    <xf numFmtId="0" fontId="12" fillId="0" borderId="2" xfId="0" applyFont="1" applyBorder="1"/>
    <xf numFmtId="0" fontId="12" fillId="0" borderId="50" xfId="0" applyFont="1" applyBorder="1"/>
    <xf numFmtId="0" fontId="13" fillId="0" borderId="17" xfId="0" applyFont="1" applyBorder="1" applyAlignment="1">
      <alignment horizontal="center"/>
    </xf>
    <xf numFmtId="2" fontId="19" fillId="0" borderId="0" xfId="0" applyNumberFormat="1" applyFont="1" applyAlignment="1">
      <alignment horizontal="right"/>
    </xf>
    <xf numFmtId="4" fontId="15" fillId="0" borderId="17" xfId="0" applyNumberFormat="1" applyFont="1" applyBorder="1" applyAlignment="1">
      <alignment horizontal="center"/>
    </xf>
    <xf numFmtId="164" fontId="15" fillId="0" borderId="17" xfId="0" applyNumberFormat="1" applyFont="1" applyBorder="1" applyAlignment="1">
      <alignment horizontal="center"/>
    </xf>
    <xf numFmtId="9" fontId="13" fillId="0" borderId="17" xfId="0" applyNumberFormat="1" applyFont="1" applyBorder="1" applyAlignment="1">
      <alignment horizontal="center"/>
    </xf>
    <xf numFmtId="0" fontId="13" fillId="0" borderId="50" xfId="0" applyFont="1" applyBorder="1" applyAlignment="1">
      <alignment horizontal="center"/>
    </xf>
    <xf numFmtId="2" fontId="19" fillId="0" borderId="47" xfId="0" applyNumberFormat="1" applyFont="1" applyBorder="1" applyAlignment="1">
      <alignment horizontal="right"/>
    </xf>
    <xf numFmtId="2" fontId="21" fillId="0" borderId="47" xfId="0" applyNumberFormat="1" applyFont="1" applyBorder="1" applyAlignment="1">
      <alignment horizontal="right"/>
    </xf>
    <xf numFmtId="0" fontId="12" fillId="0" borderId="54" xfId="0" applyFont="1" applyBorder="1"/>
    <xf numFmtId="2" fontId="15" fillId="0" borderId="43" xfId="0" applyNumberFormat="1" applyFont="1" applyBorder="1" applyAlignment="1">
      <alignment horizontal="right"/>
    </xf>
    <xf numFmtId="2" fontId="15" fillId="0" borderId="44" xfId="0" applyNumberFormat="1" applyFont="1" applyBorder="1" applyAlignment="1">
      <alignment horizontal="right"/>
    </xf>
    <xf numFmtId="2" fontId="15" fillId="0" borderId="53" xfId="0" applyNumberFormat="1" applyFont="1" applyBorder="1" applyAlignment="1">
      <alignment horizontal="right"/>
    </xf>
    <xf numFmtId="0" fontId="12" fillId="0" borderId="49" xfId="0" applyFont="1" applyBorder="1"/>
    <xf numFmtId="2" fontId="13" fillId="0" borderId="51" xfId="0" applyNumberFormat="1" applyFont="1" applyBorder="1" applyAlignment="1">
      <alignment horizontal="right"/>
    </xf>
    <xf numFmtId="2" fontId="13" fillId="0" borderId="2" xfId="0" applyNumberFormat="1" applyFont="1" applyBorder="1" applyAlignment="1">
      <alignment horizontal="right"/>
    </xf>
    <xf numFmtId="2" fontId="13" fillId="0" borderId="47" xfId="0" applyNumberFormat="1" applyFont="1" applyBorder="1" applyAlignment="1">
      <alignment horizontal="right"/>
    </xf>
    <xf numFmtId="2" fontId="13" fillId="0" borderId="0" xfId="0" applyNumberFormat="1" applyFont="1" applyAlignment="1">
      <alignment horizontal="right"/>
    </xf>
    <xf numFmtId="0" fontId="13" fillId="0" borderId="58" xfId="0" applyFont="1" applyBorder="1"/>
    <xf numFmtId="0" fontId="12" fillId="13" borderId="54" xfId="0" applyFont="1" applyFill="1" applyBorder="1"/>
    <xf numFmtId="2" fontId="19" fillId="0" borderId="52" xfId="0" applyNumberFormat="1" applyFont="1" applyBorder="1" applyAlignment="1">
      <alignment horizontal="right"/>
    </xf>
    <xf numFmtId="0" fontId="13" fillId="13" borderId="52" xfId="0" applyFont="1" applyFill="1" applyBorder="1"/>
    <xf numFmtId="2" fontId="19" fillId="0" borderId="53" xfId="0" applyNumberFormat="1" applyFont="1" applyBorder="1" applyAlignment="1">
      <alignment horizontal="right"/>
    </xf>
    <xf numFmtId="0" fontId="13" fillId="13" borderId="53" xfId="0" applyFont="1" applyFill="1" applyBorder="1"/>
    <xf numFmtId="2" fontId="21" fillId="0" borderId="53" xfId="0" applyNumberFormat="1" applyFont="1" applyBorder="1" applyAlignment="1">
      <alignment horizontal="right"/>
    </xf>
    <xf numFmtId="0" fontId="12" fillId="0" borderId="52" xfId="0" applyFont="1" applyBorder="1"/>
    <xf numFmtId="2" fontId="13" fillId="0" borderId="17" xfId="0" applyNumberFormat="1" applyFont="1" applyBorder="1" applyAlignment="1">
      <alignment horizontal="right"/>
    </xf>
    <xf numFmtId="2" fontId="15" fillId="12" borderId="42" xfId="0" applyNumberFormat="1" applyFont="1" applyFill="1" applyBorder="1" applyAlignment="1">
      <alignment horizontal="right"/>
    </xf>
    <xf numFmtId="2" fontId="15" fillId="12" borderId="43" xfId="0" applyNumberFormat="1" applyFont="1" applyFill="1" applyBorder="1" applyAlignment="1">
      <alignment horizontal="right"/>
    </xf>
    <xf numFmtId="2" fontId="13" fillId="0" borderId="49" xfId="0" applyNumberFormat="1" applyFont="1" applyBorder="1" applyAlignment="1">
      <alignment horizontal="right"/>
    </xf>
    <xf numFmtId="2" fontId="13" fillId="0" borderId="50" xfId="0" applyNumberFormat="1" applyFont="1" applyBorder="1" applyAlignment="1">
      <alignment horizontal="right"/>
    </xf>
    <xf numFmtId="2" fontId="15" fillId="12" borderId="44" xfId="0" applyNumberFormat="1" applyFont="1" applyFill="1" applyBorder="1" applyAlignment="1">
      <alignment horizontal="right"/>
    </xf>
    <xf numFmtId="2" fontId="13" fillId="0" borderId="53" xfId="0" applyNumberFormat="1" applyFont="1" applyBorder="1" applyAlignment="1">
      <alignment horizontal="right"/>
    </xf>
    <xf numFmtId="0" fontId="12" fillId="13" borderId="0" xfId="0" applyFont="1" applyFill="1"/>
    <xf numFmtId="0" fontId="14" fillId="13" borderId="10" xfId="0" applyFont="1" applyFill="1" applyBorder="1"/>
    <xf numFmtId="0" fontId="14" fillId="13" borderId="11" xfId="0" applyFont="1" applyFill="1" applyBorder="1"/>
    <xf numFmtId="0" fontId="14" fillId="13" borderId="35" xfId="0" applyFont="1" applyFill="1" applyBorder="1"/>
    <xf numFmtId="2" fontId="15" fillId="0" borderId="42" xfId="0" applyNumberFormat="1" applyFont="1" applyBorder="1" applyAlignment="1">
      <alignment horizontal="right"/>
    </xf>
    <xf numFmtId="2" fontId="15" fillId="13" borderId="61" xfId="0" applyNumberFormat="1" applyFont="1" applyFill="1" applyBorder="1" applyAlignment="1">
      <alignment horizontal="right"/>
    </xf>
    <xf numFmtId="2" fontId="15" fillId="13" borderId="62" xfId="0" applyNumberFormat="1" applyFont="1" applyFill="1" applyBorder="1" applyAlignment="1">
      <alignment horizontal="right"/>
    </xf>
    <xf numFmtId="2" fontId="17" fillId="0" borderId="47" xfId="0" applyNumberFormat="1" applyFont="1" applyBorder="1" applyAlignment="1">
      <alignment horizontal="right"/>
    </xf>
    <xf numFmtId="0" fontId="17" fillId="0" borderId="0" xfId="0" applyFont="1" applyAlignment="1">
      <alignment horizontal="right"/>
    </xf>
    <xf numFmtId="2" fontId="15" fillId="0" borderId="10" xfId="0" applyNumberFormat="1" applyFont="1" applyBorder="1" applyAlignment="1">
      <alignment horizontal="right"/>
    </xf>
    <xf numFmtId="0" fontId="17" fillId="14" borderId="0" xfId="0" applyFont="1" applyFill="1" applyAlignment="1">
      <alignment horizontal="left" vertical="center"/>
    </xf>
    <xf numFmtId="0" fontId="13" fillId="14" borderId="0" xfId="0" applyFont="1" applyFill="1" applyAlignment="1">
      <alignment horizontal="right"/>
    </xf>
    <xf numFmtId="0" fontId="17" fillId="0" borderId="0" xfId="0" applyFont="1"/>
    <xf numFmtId="0" fontId="13" fillId="15" borderId="54" xfId="0" applyFont="1" applyFill="1" applyBorder="1" applyAlignment="1">
      <alignment wrapText="1"/>
    </xf>
    <xf numFmtId="0" fontId="13" fillId="15" borderId="2" xfId="0" applyFont="1" applyFill="1" applyBorder="1" applyAlignment="1">
      <alignment wrapText="1"/>
    </xf>
    <xf numFmtId="2" fontId="15" fillId="13" borderId="63" xfId="0" applyNumberFormat="1" applyFont="1" applyFill="1" applyBorder="1" applyAlignment="1">
      <alignment horizontal="right"/>
    </xf>
    <xf numFmtId="2" fontId="15" fillId="13" borderId="53" xfId="0" applyNumberFormat="1" applyFont="1" applyFill="1" applyBorder="1" applyAlignment="1">
      <alignment horizontal="right"/>
    </xf>
    <xf numFmtId="2" fontId="17" fillId="0" borderId="53" xfId="0" applyNumberFormat="1" applyFont="1" applyBorder="1" applyAlignment="1">
      <alignment horizontal="right"/>
    </xf>
    <xf numFmtId="2" fontId="15" fillId="13" borderId="47" xfId="0" applyNumberFormat="1" applyFont="1" applyFill="1" applyBorder="1" applyAlignment="1">
      <alignment horizontal="right"/>
    </xf>
    <xf numFmtId="2" fontId="15" fillId="0" borderId="11" xfId="0" applyNumberFormat="1" applyFont="1" applyBorder="1" applyAlignment="1">
      <alignment horizontal="right"/>
    </xf>
    <xf numFmtId="2" fontId="15" fillId="0" borderId="35" xfId="0" applyNumberFormat="1" applyFont="1" applyBorder="1" applyAlignment="1">
      <alignment horizontal="right"/>
    </xf>
    <xf numFmtId="0" fontId="14" fillId="15" borderId="10" xfId="0" applyFont="1" applyFill="1" applyBorder="1"/>
    <xf numFmtId="0" fontId="14" fillId="15" borderId="11" xfId="0" applyFont="1" applyFill="1" applyBorder="1"/>
    <xf numFmtId="0" fontId="14" fillId="15" borderId="35" xfId="0" applyFont="1" applyFill="1" applyBorder="1"/>
    <xf numFmtId="2" fontId="15" fillId="15" borderId="49" xfId="0" applyNumberFormat="1" applyFont="1" applyFill="1" applyBorder="1" applyAlignment="1">
      <alignment horizontal="right"/>
    </xf>
    <xf numFmtId="2" fontId="15" fillId="15" borderId="50" xfId="0" applyNumberFormat="1" applyFont="1" applyFill="1" applyBorder="1" applyAlignment="1">
      <alignment horizontal="right"/>
    </xf>
    <xf numFmtId="0" fontId="5" fillId="0" borderId="0" xfId="0" applyFont="1"/>
    <xf numFmtId="0" fontId="5" fillId="0" borderId="6" xfId="0" applyFont="1" applyBorder="1" applyAlignment="1">
      <alignment wrapText="1"/>
    </xf>
    <xf numFmtId="0" fontId="25" fillId="0" borderId="0" xfId="0" applyFont="1" applyAlignment="1">
      <alignment horizontal="left" vertical="center" wrapText="1"/>
    </xf>
    <xf numFmtId="0" fontId="5" fillId="0" borderId="0" xfId="0" applyFont="1" applyAlignment="1">
      <alignment horizontal="left" vertical="center" wrapText="1"/>
    </xf>
    <xf numFmtId="0" fontId="5" fillId="0" borderId="6" xfId="0" applyFont="1" applyBorder="1" applyAlignment="1">
      <alignment horizontal="left" vertical="center" wrapText="1"/>
    </xf>
    <xf numFmtId="0" fontId="23" fillId="0" borderId="6" xfId="0" applyFont="1" applyBorder="1" applyAlignment="1">
      <alignment vertical="center"/>
    </xf>
    <xf numFmtId="0" fontId="5" fillId="0" borderId="6" xfId="0" applyFont="1" applyBorder="1" applyAlignment="1">
      <alignment horizontal="center" vertical="center"/>
    </xf>
    <xf numFmtId="0" fontId="5" fillId="0" borderId="0" xfId="0" applyFont="1" applyAlignment="1">
      <alignment vertical="top" wrapText="1"/>
    </xf>
    <xf numFmtId="0" fontId="5" fillId="0" borderId="0" xfId="0" applyFont="1" applyAlignment="1">
      <alignment horizontal="center" vertical="top" wrapText="1"/>
    </xf>
    <xf numFmtId="0" fontId="23" fillId="0" borderId="64" xfId="0" applyFont="1" applyBorder="1" applyAlignment="1">
      <alignment vertical="top" wrapText="1"/>
    </xf>
    <xf numFmtId="0" fontId="23" fillId="0" borderId="65" xfId="0" applyFont="1" applyBorder="1" applyAlignment="1">
      <alignment horizontal="center" vertical="top" wrapText="1"/>
    </xf>
    <xf numFmtId="0" fontId="23" fillId="0" borderId="66" xfId="0" applyFont="1" applyBorder="1" applyAlignment="1">
      <alignment vertical="top" wrapText="1"/>
    </xf>
    <xf numFmtId="0" fontId="23" fillId="0" borderId="67" xfId="0" applyFont="1" applyBorder="1" applyAlignment="1">
      <alignment horizontal="center" vertical="top" wrapText="1"/>
    </xf>
    <xf numFmtId="0" fontId="23" fillId="0" borderId="42" xfId="0" applyFont="1" applyBorder="1" applyAlignment="1">
      <alignment vertical="top" wrapText="1"/>
    </xf>
    <xf numFmtId="0" fontId="23" fillId="0" borderId="14" xfId="0" applyFont="1" applyBorder="1" applyAlignment="1">
      <alignment horizontal="center" vertical="top" wrapText="1"/>
    </xf>
    <xf numFmtId="0" fontId="5" fillId="0" borderId="13" xfId="0" applyFont="1" applyBorder="1" applyAlignment="1">
      <alignment horizontal="center" vertical="top" wrapText="1"/>
    </xf>
    <xf numFmtId="0" fontId="5" fillId="0" borderId="51" xfId="0" applyFont="1" applyBorder="1" applyAlignment="1">
      <alignment vertical="top" wrapText="1"/>
    </xf>
    <xf numFmtId="0" fontId="5" fillId="0" borderId="68" xfId="0" applyFont="1" applyBorder="1" applyAlignment="1">
      <alignment vertical="top" wrapText="1"/>
    </xf>
    <xf numFmtId="0" fontId="5" fillId="0" borderId="69" xfId="0" applyFont="1" applyBorder="1" applyAlignment="1">
      <alignment horizontal="center" vertical="top" wrapText="1"/>
    </xf>
    <xf numFmtId="0" fontId="5" fillId="0" borderId="49" xfId="0" applyFont="1" applyBorder="1" applyAlignment="1">
      <alignment horizontal="center" vertical="top" wrapText="1"/>
    </xf>
    <xf numFmtId="0" fontId="23" fillId="0" borderId="10" xfId="0" applyFont="1" applyBorder="1" applyAlignment="1">
      <alignment vertical="top" wrapText="1"/>
    </xf>
    <xf numFmtId="0" fontId="23" fillId="0" borderId="11" xfId="0" applyFont="1" applyBorder="1" applyAlignment="1">
      <alignment horizontal="center" vertical="top" wrapText="1"/>
    </xf>
    <xf numFmtId="0" fontId="23" fillId="0" borderId="35" xfId="0" applyFont="1" applyBorder="1" applyAlignment="1">
      <alignment horizontal="center" vertical="top" wrapText="1"/>
    </xf>
    <xf numFmtId="0" fontId="22" fillId="0" borderId="0" xfId="0" applyFont="1" applyAlignment="1">
      <alignment vertical="top"/>
    </xf>
    <xf numFmtId="0" fontId="5" fillId="0" borderId="0" xfId="0" applyFont="1" applyAlignment="1">
      <alignment vertical="top"/>
    </xf>
    <xf numFmtId="0" fontId="23" fillId="0" borderId="10" xfId="0" applyFont="1" applyBorder="1" applyAlignment="1">
      <alignment vertical="top"/>
    </xf>
    <xf numFmtId="0" fontId="23" fillId="0" borderId="11" xfId="0" applyFont="1" applyBorder="1" applyAlignment="1">
      <alignment vertical="top"/>
    </xf>
    <xf numFmtId="0" fontId="23" fillId="0" borderId="35" xfId="0" applyFont="1" applyBorder="1" applyAlignment="1">
      <alignment vertical="top"/>
    </xf>
    <xf numFmtId="0" fontId="5" fillId="0" borderId="27" xfId="0" applyFont="1" applyBorder="1" applyAlignment="1">
      <alignment vertical="top" wrapText="1"/>
    </xf>
    <xf numFmtId="0" fontId="5" fillId="0" borderId="28" xfId="0" applyFont="1" applyBorder="1" applyAlignment="1">
      <alignment vertical="top" wrapText="1"/>
    </xf>
    <xf numFmtId="0" fontId="5" fillId="0" borderId="46" xfId="0" applyFont="1" applyBorder="1" applyAlignment="1">
      <alignment vertical="top" wrapText="1"/>
    </xf>
    <xf numFmtId="0" fontId="24" fillId="0" borderId="3" xfId="0" applyFont="1" applyBorder="1" applyAlignment="1">
      <alignment vertical="top" wrapText="1"/>
    </xf>
    <xf numFmtId="0" fontId="5" fillId="0" borderId="6" xfId="0" applyFont="1" applyBorder="1" applyAlignment="1">
      <alignment vertical="top" wrapText="1"/>
    </xf>
    <xf numFmtId="0" fontId="5" fillId="0" borderId="39" xfId="0" applyFont="1" applyBorder="1" applyAlignment="1">
      <alignment vertical="top" wrapText="1"/>
    </xf>
    <xf numFmtId="0" fontId="24" fillId="0" borderId="6" xfId="0" applyFont="1" applyBorder="1" applyAlignment="1">
      <alignment vertical="top" wrapText="1"/>
    </xf>
    <xf numFmtId="0" fontId="5" fillId="0" borderId="3" xfId="0" applyFont="1" applyBorder="1" applyAlignment="1">
      <alignment vertical="top" wrapText="1"/>
    </xf>
    <xf numFmtId="0" fontId="24" fillId="0" borderId="39" xfId="0" applyFont="1" applyBorder="1" applyAlignment="1">
      <alignment vertical="top" wrapText="1"/>
    </xf>
    <xf numFmtId="0" fontId="5" fillId="0" borderId="25" xfId="0" applyFont="1" applyBorder="1" applyAlignment="1">
      <alignment vertical="top" wrapText="1"/>
    </xf>
    <xf numFmtId="0" fontId="5" fillId="0" borderId="41" xfId="0" applyFont="1" applyBorder="1" applyAlignment="1">
      <alignment vertical="top" wrapText="1"/>
    </xf>
    <xf numFmtId="0" fontId="23" fillId="0" borderId="45" xfId="0" applyFont="1" applyBorder="1" applyAlignment="1">
      <alignment vertical="top"/>
    </xf>
    <xf numFmtId="0" fontId="23" fillId="0" borderId="16" xfId="0" applyFont="1" applyBorder="1" applyAlignment="1">
      <alignment vertical="top"/>
    </xf>
    <xf numFmtId="0" fontId="23" fillId="0" borderId="36" xfId="0" applyFont="1" applyBorder="1" applyAlignment="1">
      <alignment vertical="top"/>
    </xf>
    <xf numFmtId="0" fontId="5" fillId="21" borderId="51" xfId="0" applyFont="1" applyFill="1" applyBorder="1" applyAlignment="1">
      <alignment vertical="top" wrapText="1"/>
    </xf>
    <xf numFmtId="0" fontId="5" fillId="23" borderId="51" xfId="0" applyFont="1" applyFill="1" applyBorder="1" applyAlignment="1">
      <alignment vertical="top" wrapText="1"/>
    </xf>
    <xf numFmtId="0" fontId="5" fillId="24" borderId="68" xfId="0" applyFont="1" applyFill="1" applyBorder="1" applyAlignment="1">
      <alignment vertical="top" wrapText="1"/>
    </xf>
    <xf numFmtId="0" fontId="5" fillId="24" borderId="2" xfId="0" applyFont="1" applyFill="1" applyBorder="1" applyAlignment="1">
      <alignment vertical="top" wrapText="1"/>
    </xf>
    <xf numFmtId="0" fontId="5" fillId="25" borderId="51" xfId="0" applyFont="1" applyFill="1" applyBorder="1" applyAlignment="1">
      <alignment vertical="top" wrapText="1"/>
    </xf>
    <xf numFmtId="0" fontId="5" fillId="27" borderId="68" xfId="0" applyFont="1" applyFill="1" applyBorder="1" applyAlignment="1">
      <alignment vertical="top" wrapText="1"/>
    </xf>
    <xf numFmtId="0" fontId="5" fillId="27" borderId="51" xfId="0" applyFont="1" applyFill="1" applyBorder="1" applyAlignment="1">
      <alignment vertical="top" wrapText="1"/>
    </xf>
    <xf numFmtId="0" fontId="5" fillId="28" borderId="68" xfId="0" applyFont="1" applyFill="1" applyBorder="1" applyAlignment="1">
      <alignment vertical="top" wrapText="1"/>
    </xf>
    <xf numFmtId="0" fontId="5" fillId="28" borderId="51" xfId="0" applyFont="1" applyFill="1" applyBorder="1" applyAlignment="1">
      <alignment vertical="top" wrapText="1"/>
    </xf>
    <xf numFmtId="0" fontId="5" fillId="0" borderId="14" xfId="0" applyFont="1" applyBorder="1" applyAlignment="1">
      <alignment horizontal="center" vertical="top" wrapText="1"/>
    </xf>
    <xf numFmtId="0" fontId="5" fillId="0" borderId="17" xfId="0" applyFont="1" applyBorder="1" applyAlignment="1">
      <alignment horizontal="center" vertical="top" wrapText="1"/>
    </xf>
    <xf numFmtId="0" fontId="5" fillId="0" borderId="23" xfId="0" applyFont="1" applyBorder="1" applyAlignment="1">
      <alignment horizontal="center" vertical="top" wrapText="1"/>
    </xf>
    <xf numFmtId="0" fontId="5" fillId="0" borderId="50" xfId="0" applyFont="1" applyBorder="1" applyAlignment="1">
      <alignment horizontal="center" vertical="top" wrapText="1"/>
    </xf>
    <xf numFmtId="0" fontId="5" fillId="17" borderId="12" xfId="0" applyFont="1" applyFill="1" applyBorder="1" applyAlignment="1">
      <alignment vertical="top" wrapText="1"/>
    </xf>
    <xf numFmtId="0" fontId="5" fillId="17" borderId="51" xfId="0" applyFont="1" applyFill="1" applyBorder="1" applyAlignment="1">
      <alignment vertical="top" wrapText="1"/>
    </xf>
    <xf numFmtId="0" fontId="5" fillId="19" borderId="51" xfId="0" applyFont="1" applyFill="1" applyBorder="1" applyAlignment="1">
      <alignment vertical="top" wrapText="1"/>
    </xf>
    <xf numFmtId="0" fontId="5" fillId="20" borderId="68" xfId="0" applyFont="1" applyFill="1" applyBorder="1" applyAlignment="1">
      <alignment vertical="top" wrapText="1"/>
    </xf>
    <xf numFmtId="0" fontId="5" fillId="20" borderId="2" xfId="0" applyFont="1" applyFill="1" applyBorder="1" applyAlignment="1">
      <alignment vertical="top" wrapText="1"/>
    </xf>
    <xf numFmtId="0" fontId="5" fillId="18" borderId="43" xfId="0" applyFont="1" applyFill="1" applyBorder="1" applyAlignment="1">
      <alignment vertical="top" wrapText="1"/>
    </xf>
    <xf numFmtId="0" fontId="5" fillId="18" borderId="44" xfId="0" applyFont="1" applyFill="1" applyBorder="1" applyAlignment="1">
      <alignment vertical="top" wrapText="1"/>
    </xf>
    <xf numFmtId="0" fontId="5" fillId="22" borderId="42" xfId="0" applyFont="1" applyFill="1" applyBorder="1" applyAlignment="1">
      <alignment vertical="top" wrapText="1"/>
    </xf>
    <xf numFmtId="0" fontId="5" fillId="22" borderId="43" xfId="0" applyFont="1" applyFill="1" applyBorder="1" applyAlignment="1">
      <alignment vertical="top" wrapText="1"/>
    </xf>
    <xf numFmtId="0" fontId="5" fillId="22" borderId="44" xfId="0" applyFont="1" applyFill="1" applyBorder="1" applyAlignment="1">
      <alignment vertical="top" wrapText="1"/>
    </xf>
    <xf numFmtId="0" fontId="5" fillId="26" borderId="43" xfId="0" applyFont="1" applyFill="1" applyBorder="1" applyAlignment="1">
      <alignment vertical="top" wrapText="1"/>
    </xf>
    <xf numFmtId="0" fontId="9" fillId="0" borderId="32" xfId="0" applyFont="1" applyBorder="1" applyAlignment="1">
      <alignment vertical="center" wrapText="1"/>
    </xf>
    <xf numFmtId="0" fontId="9" fillId="0" borderId="7" xfId="0" applyFont="1" applyBorder="1" applyAlignment="1">
      <alignment vertical="center" wrapText="1"/>
    </xf>
    <xf numFmtId="0" fontId="9" fillId="0" borderId="22" xfId="0" applyFont="1" applyBorder="1" applyAlignment="1">
      <alignment vertical="center" wrapText="1"/>
    </xf>
    <xf numFmtId="0" fontId="5" fillId="0" borderId="32" xfId="0" applyFont="1" applyBorder="1" applyAlignment="1">
      <alignment vertical="center" wrapText="1"/>
    </xf>
    <xf numFmtId="0" fontId="5" fillId="0" borderId="7" xfId="0" applyFont="1" applyBorder="1" applyAlignment="1">
      <alignment vertical="center" wrapText="1"/>
    </xf>
    <xf numFmtId="0" fontId="5" fillId="0" borderId="22" xfId="0" applyFont="1" applyBorder="1" applyAlignment="1">
      <alignment vertical="center" wrapText="1"/>
    </xf>
    <xf numFmtId="0" fontId="9" fillId="0" borderId="32" xfId="0" applyFont="1" applyBorder="1" applyAlignment="1">
      <alignment horizontal="left" vertical="center" wrapText="1"/>
    </xf>
    <xf numFmtId="0" fontId="9" fillId="0" borderId="7" xfId="0" applyFont="1" applyBorder="1" applyAlignment="1">
      <alignment horizontal="left" vertical="center" wrapText="1"/>
    </xf>
    <xf numFmtId="0" fontId="9" fillId="0" borderId="22" xfId="0" applyFont="1" applyBorder="1" applyAlignment="1">
      <alignment horizontal="left" vertical="center" wrapText="1"/>
    </xf>
    <xf numFmtId="0" fontId="5" fillId="0" borderId="32" xfId="0" applyFont="1" applyBorder="1" applyAlignment="1">
      <alignment horizontal="left" vertical="center" wrapText="1"/>
    </xf>
    <xf numFmtId="0" fontId="5" fillId="0" borderId="7" xfId="0" applyFont="1" applyBorder="1" applyAlignment="1">
      <alignment horizontal="left" vertical="center" wrapText="1"/>
    </xf>
    <xf numFmtId="0" fontId="5" fillId="0" borderId="22" xfId="0" applyFont="1" applyBorder="1" applyAlignment="1">
      <alignment horizontal="left" vertical="center" wrapText="1"/>
    </xf>
    <xf numFmtId="0" fontId="5" fillId="0" borderId="6" xfId="0" applyFont="1" applyBorder="1" applyAlignment="1">
      <alignment horizontal="left"/>
    </xf>
    <xf numFmtId="0" fontId="5" fillId="0" borderId="3" xfId="0" applyFont="1" applyBorder="1" applyAlignment="1">
      <alignment vertical="top" wrapText="1"/>
    </xf>
    <xf numFmtId="0" fontId="5" fillId="0" borderId="6" xfId="0" applyFont="1" applyBorder="1" applyAlignment="1">
      <alignment vertical="top" wrapText="1"/>
    </xf>
    <xf numFmtId="0" fontId="5" fillId="0" borderId="39" xfId="0" applyFont="1" applyBorder="1" applyAlignment="1">
      <alignment vertical="top" wrapText="1"/>
    </xf>
    <xf numFmtId="0" fontId="5" fillId="0" borderId="24" xfId="0" applyFont="1" applyBorder="1" applyAlignment="1">
      <alignment vertical="top" wrapText="1"/>
    </xf>
    <xf numFmtId="0" fontId="5" fillId="0" borderId="25" xfId="0" applyFont="1" applyBorder="1" applyAlignment="1">
      <alignment vertical="top" wrapText="1"/>
    </xf>
    <xf numFmtId="0" fontId="5" fillId="0" borderId="41" xfId="0" applyFont="1" applyBorder="1" applyAlignment="1">
      <alignment vertical="top" wrapText="1"/>
    </xf>
    <xf numFmtId="0" fontId="5" fillId="0" borderId="45" xfId="0" applyFont="1" applyBorder="1" applyAlignment="1">
      <alignment horizontal="left" vertical="top"/>
    </xf>
    <xf numFmtId="0" fontId="5" fillId="0" borderId="16" xfId="0" applyFont="1" applyBorder="1" applyAlignment="1">
      <alignment horizontal="left" vertical="top"/>
    </xf>
    <xf numFmtId="0" fontId="5" fillId="0" borderId="36" xfId="0" applyFont="1" applyBorder="1" applyAlignment="1">
      <alignment horizontal="left" vertical="top"/>
    </xf>
    <xf numFmtId="0" fontId="5" fillId="0" borderId="3" xfId="0" applyFont="1" applyBorder="1" applyAlignment="1">
      <alignment vertical="top"/>
    </xf>
    <xf numFmtId="0" fontId="5" fillId="0" borderId="6" xfId="0" applyFont="1" applyBorder="1" applyAlignment="1">
      <alignment vertical="top"/>
    </xf>
    <xf numFmtId="0" fontId="5" fillId="0" borderId="39" xfId="0" applyFont="1" applyBorder="1" applyAlignment="1">
      <alignment vertical="top"/>
    </xf>
    <xf numFmtId="0" fontId="5" fillId="0" borderId="24" xfId="0" applyFont="1" applyBorder="1" applyAlignment="1">
      <alignment vertical="top"/>
    </xf>
    <xf numFmtId="0" fontId="5" fillId="0" borderId="25" xfId="0" applyFont="1" applyBorder="1" applyAlignment="1">
      <alignment vertical="top"/>
    </xf>
    <xf numFmtId="0" fontId="5" fillId="0" borderId="41" xfId="0" applyFont="1" applyBorder="1" applyAlignment="1">
      <alignment vertical="top"/>
    </xf>
    <xf numFmtId="0" fontId="5" fillId="0" borderId="27" xfId="0" applyFont="1" applyBorder="1" applyAlignment="1">
      <alignment vertical="top"/>
    </xf>
    <xf numFmtId="0" fontId="5" fillId="0" borderId="28" xfId="0" applyFont="1" applyBorder="1" applyAlignment="1">
      <alignment vertical="top"/>
    </xf>
    <xf numFmtId="0" fontId="5" fillId="0" borderId="46" xfId="0" applyFont="1" applyBorder="1" applyAlignment="1">
      <alignment vertical="top"/>
    </xf>
    <xf numFmtId="0" fontId="12" fillId="0" borderId="10" xfId="0" applyFont="1" applyBorder="1" applyAlignment="1">
      <alignment horizontal="center"/>
    </xf>
    <xf numFmtId="0" fontId="11" fillId="0" borderId="11" xfId="0" applyFont="1" applyBorder="1" applyAlignment="1">
      <alignment horizontal="center"/>
    </xf>
    <xf numFmtId="0" fontId="11" fillId="0" borderId="35" xfId="0" applyFont="1" applyBorder="1" applyAlignment="1">
      <alignment horizontal="center"/>
    </xf>
    <xf numFmtId="0" fontId="12" fillId="12" borderId="55" xfId="0" applyFont="1" applyFill="1" applyBorder="1" applyAlignment="1">
      <alignment horizontal="center"/>
    </xf>
    <xf numFmtId="0" fontId="12" fillId="12" borderId="56" xfId="0" applyFont="1" applyFill="1" applyBorder="1" applyAlignment="1">
      <alignment horizontal="center"/>
    </xf>
    <xf numFmtId="0" fontId="12" fillId="12" borderId="57" xfId="0" applyFont="1" applyFill="1" applyBorder="1" applyAlignment="1">
      <alignment horizontal="center"/>
    </xf>
    <xf numFmtId="0" fontId="12" fillId="13" borderId="59" xfId="0" applyFont="1" applyFill="1" applyBorder="1" applyAlignment="1">
      <alignment horizontal="center"/>
    </xf>
    <xf numFmtId="0" fontId="11" fillId="0" borderId="58" xfId="0" applyFont="1" applyBorder="1" applyAlignment="1">
      <alignment horizontal="center"/>
    </xf>
    <xf numFmtId="0" fontId="11" fillId="0" borderId="60" xfId="0" applyFont="1" applyBorder="1" applyAlignment="1">
      <alignment horizontal="center"/>
    </xf>
    <xf numFmtId="0" fontId="9" fillId="0" borderId="6" xfId="0" applyFont="1" applyBorder="1" applyAlignment="1">
      <alignment horizontal="center" vertical="center" wrapText="1"/>
    </xf>
    <xf numFmtId="0" fontId="5" fillId="0" borderId="6" xfId="0" applyFont="1" applyBorder="1" applyAlignment="1">
      <alignment horizontal="center" vertical="center" wrapText="1"/>
    </xf>
    <xf numFmtId="0" fontId="2" fillId="0" borderId="0" xfId="0" applyFont="1" applyAlignment="1">
      <alignment horizontal="left"/>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0" xfId="0" applyFont="1" applyAlignment="1">
      <alignment horizontal="center"/>
    </xf>
    <xf numFmtId="0" fontId="3" fillId="0" borderId="37" xfId="0" applyFont="1" applyBorder="1" applyAlignment="1">
      <alignment horizontal="center"/>
    </xf>
    <xf numFmtId="0" fontId="3" fillId="0" borderId="20" xfId="0" applyFont="1" applyBorder="1" applyAlignment="1">
      <alignment horizontal="center"/>
    </xf>
    <xf numFmtId="0" fontId="3" fillId="0" borderId="38" xfId="0" applyFont="1" applyBorder="1" applyAlignment="1">
      <alignment horizontal="center"/>
    </xf>
    <xf numFmtId="0" fontId="2" fillId="0" borderId="27" xfId="0" applyFont="1" applyBorder="1" applyAlignment="1">
      <alignment horizontal="left"/>
    </xf>
    <xf numFmtId="0" fontId="2" fillId="0" borderId="28" xfId="0" applyFont="1" applyBorder="1" applyAlignment="1">
      <alignment horizontal="left"/>
    </xf>
    <xf numFmtId="0" fontId="2" fillId="0" borderId="3" xfId="0" applyFont="1" applyBorder="1" applyAlignment="1">
      <alignment horizontal="left"/>
    </xf>
    <xf numFmtId="0" fontId="2" fillId="0" borderId="6" xfId="0" applyFont="1" applyBorder="1" applyAlignment="1">
      <alignment horizontal="left"/>
    </xf>
    <xf numFmtId="0" fontId="2" fillId="0" borderId="29" xfId="0" applyFont="1" applyBorder="1" applyAlignment="1">
      <alignment horizontal="left"/>
    </xf>
    <xf numFmtId="0" fontId="2" fillId="0" borderId="22" xfId="0" applyFont="1" applyBorder="1" applyAlignment="1">
      <alignment horizontal="left"/>
    </xf>
    <xf numFmtId="0" fontId="2" fillId="0" borderId="24" xfId="0" applyFont="1" applyBorder="1" applyAlignment="1">
      <alignment horizontal="left"/>
    </xf>
    <xf numFmtId="0" fontId="2" fillId="0" borderId="25" xfId="0" applyFont="1" applyBorder="1" applyAlignment="1">
      <alignment horizontal="left"/>
    </xf>
    <xf numFmtId="0" fontId="3" fillId="0" borderId="3" xfId="0" applyFont="1" applyBorder="1" applyAlignment="1">
      <alignment horizontal="left"/>
    </xf>
    <xf numFmtId="0" fontId="3" fillId="0" borderId="6" xfId="0" applyFont="1" applyBorder="1" applyAlignment="1">
      <alignment horizontal="left"/>
    </xf>
    <xf numFmtId="0" fontId="5" fillId="0" borderId="70" xfId="0" applyFont="1" applyBorder="1" applyAlignment="1">
      <alignment vertical="top" wrapText="1"/>
    </xf>
    <xf numFmtId="0" fontId="33" fillId="0" borderId="54" xfId="2" applyFont="1" applyBorder="1" applyAlignment="1">
      <alignment horizontal="left" vertical="top" wrapText="1"/>
    </xf>
    <xf numFmtId="0" fontId="33" fillId="0" borderId="11" xfId="2" applyFont="1" applyBorder="1" applyAlignment="1">
      <alignment horizontal="left" vertical="top" wrapText="1"/>
    </xf>
    <xf numFmtId="0" fontId="33" fillId="0" borderId="35" xfId="2" applyFont="1" applyBorder="1" applyAlignment="1">
      <alignment horizontal="left" vertical="top" wrapText="1"/>
    </xf>
    <xf numFmtId="0" fontId="33" fillId="0" borderId="43" xfId="2" applyFont="1" applyBorder="1" applyAlignment="1">
      <alignment horizontal="left" vertical="top" wrapText="1"/>
    </xf>
    <xf numFmtId="0" fontId="33" fillId="0" borderId="17" xfId="2" applyFont="1" applyBorder="1" applyAlignment="1">
      <alignment horizontal="left" vertical="top" wrapText="1"/>
    </xf>
    <xf numFmtId="0" fontId="35" fillId="0" borderId="43" xfId="2" applyFont="1" applyBorder="1" applyAlignment="1">
      <alignment horizontal="left" vertical="top" wrapText="1"/>
    </xf>
    <xf numFmtId="0" fontId="35" fillId="0" borderId="17" xfId="2" applyFont="1" applyBorder="1" applyAlignment="1">
      <alignment horizontal="left" vertical="top" wrapText="1"/>
    </xf>
    <xf numFmtId="0" fontId="34" fillId="0" borderId="43" xfId="2" applyFont="1" applyBorder="1" applyAlignment="1">
      <alignment horizontal="left" vertical="top" wrapText="1"/>
    </xf>
    <xf numFmtId="0" fontId="34" fillId="0" borderId="17" xfId="2" applyFont="1" applyBorder="1" applyAlignment="1">
      <alignment horizontal="left" vertical="top" wrapText="1"/>
    </xf>
    <xf numFmtId="0" fontId="34" fillId="0" borderId="44" xfId="2" applyFont="1" applyBorder="1" applyAlignment="1">
      <alignment horizontal="left" vertical="top" wrapText="1"/>
    </xf>
    <xf numFmtId="0" fontId="34" fillId="0" borderId="50" xfId="2" applyFont="1" applyBorder="1" applyAlignment="1">
      <alignment horizontal="left" vertical="top" wrapText="1"/>
    </xf>
    <xf numFmtId="0" fontId="36" fillId="0" borderId="6" xfId="3" applyFont="1" applyBorder="1" applyAlignment="1">
      <alignment vertical="center" wrapText="1"/>
    </xf>
    <xf numFmtId="0" fontId="32" fillId="0" borderId="6" xfId="3" applyFont="1" applyBorder="1" applyAlignment="1">
      <alignment vertical="center" wrapText="1"/>
    </xf>
    <xf numFmtId="0" fontId="1" fillId="0" borderId="0" xfId="3" applyAlignment="1">
      <alignment vertical="center" wrapText="1"/>
    </xf>
    <xf numFmtId="0" fontId="34" fillId="0" borderId="6" xfId="3" applyFont="1" applyBorder="1" applyAlignment="1">
      <alignment vertical="center" wrapText="1"/>
    </xf>
    <xf numFmtId="0" fontId="1" fillId="0" borderId="6" xfId="3" applyBorder="1" applyAlignment="1">
      <alignment vertical="center" wrapText="1"/>
    </xf>
    <xf numFmtId="0" fontId="1" fillId="0" borderId="6" xfId="3" applyBorder="1" applyAlignment="1">
      <alignment horizontal="center" vertical="center" wrapText="1"/>
    </xf>
    <xf numFmtId="0" fontId="34" fillId="29" borderId="6" xfId="3" applyFont="1" applyFill="1" applyBorder="1" applyAlignment="1">
      <alignment vertical="center" wrapText="1"/>
    </xf>
    <xf numFmtId="0" fontId="1" fillId="29" borderId="6" xfId="3" applyFill="1" applyBorder="1" applyAlignment="1">
      <alignment vertical="center" wrapText="1"/>
    </xf>
    <xf numFmtId="0" fontId="37" fillId="0" borderId="0" xfId="3" applyFont="1" applyAlignment="1"/>
    <xf numFmtId="0" fontId="1" fillId="0" borderId="0" xfId="3" applyAlignment="1"/>
    <xf numFmtId="0" fontId="32" fillId="30" borderId="71" xfId="3" applyFont="1" applyFill="1" applyBorder="1" applyAlignment="1">
      <alignment vertical="top" wrapText="1"/>
    </xf>
    <xf numFmtId="0" fontId="32" fillId="0" borderId="72" xfId="3" applyFont="1" applyBorder="1" applyAlignment="1">
      <alignment vertical="top" wrapText="1"/>
    </xf>
    <xf numFmtId="0" fontId="32" fillId="0" borderId="72" xfId="3" applyFont="1" applyBorder="1" applyAlignment="1">
      <alignment horizontal="left" vertical="top" wrapText="1"/>
    </xf>
    <xf numFmtId="0" fontId="32" fillId="0" borderId="73" xfId="3" applyFont="1" applyBorder="1" applyAlignment="1">
      <alignment horizontal="left" vertical="top" wrapText="1"/>
    </xf>
    <xf numFmtId="0" fontId="1" fillId="8" borderId="72" xfId="3" applyFill="1" applyBorder="1" applyAlignment="1"/>
    <xf numFmtId="0" fontId="1" fillId="0" borderId="72" xfId="3" applyBorder="1" applyAlignment="1">
      <alignment horizontal="center"/>
    </xf>
    <xf numFmtId="0" fontId="1" fillId="0" borderId="72" xfId="3" applyBorder="1" applyAlignment="1">
      <alignment horizontal="left"/>
    </xf>
    <xf numFmtId="0" fontId="1" fillId="0" borderId="72" xfId="3" applyBorder="1" applyAlignment="1"/>
    <xf numFmtId="0" fontId="32" fillId="0" borderId="74" xfId="3" applyFont="1" applyBorder="1" applyAlignment="1"/>
    <xf numFmtId="0" fontId="1" fillId="30" borderId="51" xfId="3" applyFill="1" applyBorder="1" applyAlignment="1"/>
    <xf numFmtId="0" fontId="1" fillId="8" borderId="0" xfId="3" applyFill="1" applyAlignment="1"/>
    <xf numFmtId="0" fontId="1" fillId="0" borderId="0" xfId="3" applyAlignment="1">
      <alignment horizontal="right"/>
    </xf>
    <xf numFmtId="0" fontId="1" fillId="0" borderId="0" xfId="3" applyAlignment="1">
      <alignment horizontal="left"/>
    </xf>
    <xf numFmtId="14" fontId="1" fillId="0" borderId="0" xfId="3" applyNumberFormat="1" applyAlignment="1"/>
    <xf numFmtId="0" fontId="1" fillId="0" borderId="17" xfId="3" applyBorder="1" applyAlignment="1"/>
    <xf numFmtId="0" fontId="38" fillId="0" borderId="17" xfId="3" applyFont="1" applyBorder="1" applyAlignment="1"/>
    <xf numFmtId="17" fontId="1" fillId="0" borderId="0" xfId="3" applyNumberFormat="1" applyAlignment="1"/>
    <xf numFmtId="9" fontId="1" fillId="0" borderId="0" xfId="3" applyNumberFormat="1" applyAlignment="1"/>
    <xf numFmtId="0" fontId="1" fillId="30" borderId="2" xfId="3" applyFill="1" applyBorder="1" applyAlignment="1"/>
    <xf numFmtId="0" fontId="1" fillId="0" borderId="49" xfId="3" applyBorder="1" applyAlignment="1"/>
    <xf numFmtId="0" fontId="1" fillId="8" borderId="49" xfId="3" applyFill="1" applyBorder="1" applyAlignment="1"/>
    <xf numFmtId="14" fontId="1" fillId="0" borderId="49" xfId="3" applyNumberFormat="1" applyBorder="1" applyAlignment="1"/>
    <xf numFmtId="0" fontId="38" fillId="0" borderId="50" xfId="3" applyFont="1" applyBorder="1" applyAlignment="1"/>
    <xf numFmtId="0" fontId="39" fillId="0" borderId="0" xfId="3" applyFont="1" applyAlignment="1"/>
    <xf numFmtId="0" fontId="40" fillId="0" borderId="0" xfId="3" applyFont="1" applyAlignment="1">
      <alignment horizontal="left" vertical="center" wrapText="1"/>
    </xf>
    <xf numFmtId="0" fontId="40" fillId="0" borderId="0" xfId="3" applyFont="1" applyAlignment="1">
      <alignment wrapText="1"/>
    </xf>
    <xf numFmtId="0" fontId="36" fillId="0" borderId="6" xfId="3" applyFont="1" applyBorder="1" applyAlignment="1">
      <alignment horizontal="left" vertical="center" wrapText="1"/>
    </xf>
    <xf numFmtId="0" fontId="40" fillId="0" borderId="6" xfId="3" applyFont="1" applyBorder="1" applyAlignment="1">
      <alignment horizontal="left" vertical="center" wrapText="1"/>
    </xf>
    <xf numFmtId="0" fontId="40" fillId="0" borderId="6" xfId="3" applyFont="1" applyBorder="1" applyAlignment="1">
      <alignment wrapText="1"/>
    </xf>
    <xf numFmtId="0" fontId="1" fillId="0" borderId="12" xfId="3" applyBorder="1" applyAlignment="1">
      <alignment vertical="center" textRotation="90"/>
    </xf>
    <xf numFmtId="0" fontId="1" fillId="0" borderId="75" xfId="3" applyBorder="1" applyAlignment="1">
      <alignment vertical="center" textRotation="90"/>
    </xf>
    <xf numFmtId="0" fontId="1" fillId="0" borderId="18" xfId="3" applyBorder="1" applyAlignment="1">
      <alignment vertical="center" textRotation="90"/>
    </xf>
    <xf numFmtId="0" fontId="1" fillId="0" borderId="0" xfId="3" applyAlignment="1">
      <alignment vertical="center" textRotation="90"/>
    </xf>
    <xf numFmtId="0" fontId="1" fillId="0" borderId="76" xfId="3" applyBorder="1">
      <alignment vertical="center"/>
    </xf>
    <xf numFmtId="0" fontId="1" fillId="0" borderId="0" xfId="3">
      <alignment vertical="center"/>
    </xf>
    <xf numFmtId="0" fontId="1" fillId="0" borderId="17" xfId="3" applyBorder="1">
      <alignment vertical="center"/>
    </xf>
    <xf numFmtId="0" fontId="1" fillId="0" borderId="77" xfId="3" applyBorder="1">
      <alignment vertical="center"/>
    </xf>
    <xf numFmtId="0" fontId="1" fillId="0" borderId="49" xfId="3" applyBorder="1">
      <alignment vertical="center"/>
    </xf>
    <xf numFmtId="0" fontId="1" fillId="0" borderId="50" xfId="3" applyBorder="1">
      <alignment vertical="center"/>
    </xf>
    <xf numFmtId="0" fontId="1" fillId="0" borderId="0" xfId="3" applyAlignment="1">
      <alignment vertical="top"/>
    </xf>
    <xf numFmtId="0" fontId="1" fillId="0" borderId="0" xfId="3" applyAlignment="1">
      <alignment vertical="top" wrapText="1"/>
    </xf>
    <xf numFmtId="0" fontId="41" fillId="0" borderId="0" xfId="3" applyFont="1" applyAlignment="1"/>
    <xf numFmtId="0" fontId="42" fillId="0" borderId="0" xfId="3" applyFont="1" applyAlignment="1">
      <alignment vertical="top" wrapText="1"/>
    </xf>
    <xf numFmtId="0" fontId="42" fillId="0" borderId="0" xfId="3" applyFont="1" applyAlignment="1"/>
    <xf numFmtId="0" fontId="43" fillId="0" borderId="0" xfId="3" applyFont="1" applyAlignment="1"/>
    <xf numFmtId="0" fontId="42" fillId="31" borderId="0" xfId="3" applyFont="1" applyFill="1" applyAlignment="1">
      <alignment horizontal="center"/>
    </xf>
    <xf numFmtId="0" fontId="42" fillId="32" borderId="0" xfId="3" applyFont="1" applyFill="1" applyAlignment="1">
      <alignment horizontal="center"/>
    </xf>
    <xf numFmtId="0" fontId="42" fillId="33" borderId="0" xfId="3" applyFont="1" applyFill="1" applyAlignment="1">
      <alignment horizontal="center"/>
    </xf>
    <xf numFmtId="0" fontId="42" fillId="34" borderId="0" xfId="3" applyFont="1" applyFill="1" applyAlignment="1">
      <alignment horizontal="center"/>
    </xf>
    <xf numFmtId="49" fontId="42" fillId="32" borderId="0" xfId="3" applyNumberFormat="1" applyFont="1" applyFill="1" applyAlignment="1">
      <alignment horizontal="center"/>
    </xf>
    <xf numFmtId="49" fontId="42" fillId="31" borderId="0" xfId="3" applyNumberFormat="1" applyFont="1" applyFill="1" applyAlignment="1">
      <alignment horizontal="center"/>
    </xf>
    <xf numFmtId="0" fontId="42" fillId="35" borderId="0" xfId="3" applyFont="1" applyFill="1" applyAlignment="1">
      <alignment horizontal="center"/>
    </xf>
    <xf numFmtId="49" fontId="42" fillId="34" borderId="0" xfId="3" applyNumberFormat="1" applyFont="1" applyFill="1" applyAlignment="1">
      <alignment horizontal="center"/>
    </xf>
    <xf numFmtId="49" fontId="42" fillId="35" borderId="0" xfId="3" applyNumberFormat="1" applyFont="1" applyFill="1" applyAlignment="1">
      <alignment horizontal="center"/>
    </xf>
    <xf numFmtId="0" fontId="41" fillId="0" borderId="0" xfId="3" applyFont="1" applyAlignment="1">
      <alignment horizontal="center"/>
    </xf>
    <xf numFmtId="0" fontId="41" fillId="0" borderId="0" xfId="3" applyFont="1" applyAlignment="1">
      <alignment horizontal="center" vertical="top"/>
    </xf>
    <xf numFmtId="0" fontId="41" fillId="0" borderId="0" xfId="3" applyFont="1" applyAlignment="1">
      <alignment horizontal="center"/>
    </xf>
    <xf numFmtId="0" fontId="34" fillId="0" borderId="0" xfId="3" applyFont="1" applyAlignment="1">
      <alignment vertical="top"/>
    </xf>
    <xf numFmtId="0" fontId="34" fillId="0" borderId="0" xfId="3" applyFont="1">
      <alignment vertical="center"/>
    </xf>
    <xf numFmtId="0" fontId="44" fillId="0" borderId="0" xfId="3" applyFont="1" applyAlignment="1">
      <alignment vertical="top" wrapText="1"/>
    </xf>
    <xf numFmtId="0" fontId="36" fillId="0" borderId="0" xfId="3" applyFont="1" applyAlignment="1"/>
    <xf numFmtId="0" fontId="44" fillId="0" borderId="0" xfId="3" applyFont="1" applyAlignment="1">
      <alignment wrapText="1"/>
    </xf>
    <xf numFmtId="0" fontId="33" fillId="0" borderId="0" xfId="3" applyFont="1" applyBorder="1" applyAlignment="1">
      <alignment horizontal="center" vertical="top"/>
    </xf>
    <xf numFmtId="0" fontId="34" fillId="0" borderId="0" xfId="3" applyFont="1" applyBorder="1" applyAlignment="1">
      <alignment vertical="top" wrapText="1"/>
    </xf>
    <xf numFmtId="0" fontId="44" fillId="0" borderId="17" xfId="3" applyFont="1" applyBorder="1" applyAlignment="1">
      <alignment vertical="top" wrapText="1"/>
    </xf>
    <xf numFmtId="0" fontId="33" fillId="0" borderId="37" xfId="3" applyFont="1" applyBorder="1" applyAlignment="1">
      <alignment horizontal="center" vertical="top"/>
    </xf>
    <xf numFmtId="0" fontId="33" fillId="0" borderId="38" xfId="3" applyFont="1" applyBorder="1" applyAlignment="1">
      <alignment horizontal="center" vertical="top"/>
    </xf>
    <xf numFmtId="0" fontId="34" fillId="0" borderId="3" xfId="3" applyFont="1" applyBorder="1" applyAlignment="1">
      <alignment vertical="top" wrapText="1"/>
    </xf>
    <xf numFmtId="0" fontId="34" fillId="0" borderId="39" xfId="3" applyFont="1" applyBorder="1" applyAlignment="1">
      <alignment vertical="top" wrapText="1"/>
    </xf>
    <xf numFmtId="0" fontId="34" fillId="0" borderId="70" xfId="3" applyFont="1" applyBorder="1" applyAlignment="1">
      <alignment vertical="top" wrapText="1"/>
    </xf>
    <xf numFmtId="0" fontId="34" fillId="0" borderId="41" xfId="3" applyFont="1" applyBorder="1" applyAlignment="1">
      <alignment vertical="top" wrapText="1"/>
    </xf>
    <xf numFmtId="0" fontId="36" fillId="0" borderId="37" xfId="3" applyFont="1" applyBorder="1" applyAlignment="1">
      <alignment horizontal="center" vertical="top"/>
    </xf>
    <xf numFmtId="0" fontId="36" fillId="0" borderId="38" xfId="3" applyFont="1" applyBorder="1" applyAlignment="1">
      <alignment horizontal="center" vertical="top"/>
    </xf>
    <xf numFmtId="0" fontId="36" fillId="0" borderId="3" xfId="3" applyFont="1" applyBorder="1" applyAlignment="1">
      <alignment vertical="top"/>
    </xf>
    <xf numFmtId="0" fontId="44" fillId="0" borderId="39" xfId="3" applyFont="1" applyBorder="1" applyAlignment="1">
      <alignment vertical="top" wrapText="1"/>
    </xf>
    <xf numFmtId="0" fontId="36" fillId="0" borderId="70" xfId="3" applyFont="1" applyBorder="1" applyAlignment="1">
      <alignment vertical="top"/>
    </xf>
    <xf numFmtId="0" fontId="44" fillId="0" borderId="41" xfId="3" applyFont="1" applyBorder="1" applyAlignment="1">
      <alignment vertical="top" wrapText="1"/>
    </xf>
    <xf numFmtId="0" fontId="45" fillId="36" borderId="78" xfId="3" applyFont="1" applyFill="1" applyBorder="1" applyAlignment="1">
      <alignment horizontal="left" vertical="top" wrapText="1" readingOrder="1"/>
    </xf>
    <xf numFmtId="0" fontId="45" fillId="36" borderId="79" xfId="3" applyFont="1" applyFill="1" applyBorder="1" applyAlignment="1">
      <alignment horizontal="left" vertical="top" wrapText="1"/>
    </xf>
    <xf numFmtId="0" fontId="45" fillId="36" borderId="35" xfId="3" applyFont="1" applyFill="1" applyBorder="1" applyAlignment="1">
      <alignment horizontal="left" vertical="top" wrapText="1"/>
    </xf>
    <xf numFmtId="0" fontId="44" fillId="0" borderId="51" xfId="3" applyFont="1" applyBorder="1" applyAlignment="1">
      <alignment vertical="top" wrapText="1"/>
    </xf>
    <xf numFmtId="0" fontId="44" fillId="37" borderId="0" xfId="3" applyFont="1" applyFill="1" applyAlignment="1">
      <alignment vertical="top" wrapText="1"/>
    </xf>
    <xf numFmtId="0" fontId="1" fillId="0" borderId="51" xfId="3" applyBorder="1" applyAlignment="1">
      <alignment vertical="top" wrapText="1"/>
    </xf>
    <xf numFmtId="0" fontId="1" fillId="0" borderId="17" xfId="3" applyBorder="1" applyAlignment="1">
      <alignment vertical="top" wrapText="1"/>
    </xf>
    <xf numFmtId="0" fontId="44" fillId="0" borderId="2" xfId="3" applyFont="1" applyBorder="1" applyAlignment="1">
      <alignment vertical="top" wrapText="1"/>
    </xf>
    <xf numFmtId="0" fontId="44" fillId="0" borderId="49" xfId="3" applyFont="1" applyBorder="1" applyAlignment="1">
      <alignment vertical="top" wrapText="1"/>
    </xf>
    <xf numFmtId="0" fontId="1" fillId="0" borderId="49" xfId="3" applyBorder="1" applyAlignment="1">
      <alignment vertical="top" wrapText="1"/>
    </xf>
    <xf numFmtId="0" fontId="44" fillId="37" borderId="49" xfId="3" applyFont="1" applyFill="1" applyBorder="1" applyAlignment="1">
      <alignment vertical="top" wrapText="1"/>
    </xf>
    <xf numFmtId="0" fontId="1" fillId="0" borderId="50" xfId="3" applyBorder="1" applyAlignment="1">
      <alignment vertical="top" wrapText="1"/>
    </xf>
    <xf numFmtId="0" fontId="44" fillId="0" borderId="0" xfId="3" applyFont="1" applyAlignment="1">
      <alignment horizontal="right" vertical="top" wrapText="1"/>
    </xf>
    <xf numFmtId="0" fontId="1" fillId="0" borderId="0" xfId="3" applyAlignment="1">
      <alignment horizontal="right" vertical="top" wrapText="1"/>
    </xf>
    <xf numFmtId="0" fontId="43" fillId="0" borderId="0" xfId="3" applyFont="1" applyAlignment="1">
      <alignment horizontal="right" vertical="top" wrapText="1"/>
    </xf>
    <xf numFmtId="0" fontId="42" fillId="0" borderId="0" xfId="3" applyFont="1" applyAlignment="1">
      <alignment horizontal="right" vertical="top" wrapText="1"/>
    </xf>
    <xf numFmtId="0" fontId="41" fillId="0" borderId="0" xfId="3" applyFont="1" applyAlignment="1">
      <alignment vertical="top" wrapText="1"/>
    </xf>
    <xf numFmtId="0" fontId="42" fillId="31" borderId="0" xfId="3" applyFont="1" applyFill="1" applyAlignment="1">
      <alignment horizontal="center" vertical="top" wrapText="1"/>
    </xf>
    <xf numFmtId="0" fontId="42" fillId="32" borderId="0" xfId="3" applyFont="1" applyFill="1" applyAlignment="1">
      <alignment horizontal="center" vertical="top" wrapText="1"/>
    </xf>
    <xf numFmtId="0" fontId="42" fillId="33" borderId="0" xfId="3" applyFont="1" applyFill="1" applyAlignment="1">
      <alignment horizontal="center" vertical="top" wrapText="1"/>
    </xf>
    <xf numFmtId="0" fontId="42" fillId="34" borderId="0" xfId="3" applyFont="1" applyFill="1" applyAlignment="1">
      <alignment horizontal="center" vertical="top" wrapText="1"/>
    </xf>
    <xf numFmtId="0" fontId="42" fillId="35" borderId="0" xfId="3" applyFont="1" applyFill="1" applyAlignment="1">
      <alignment horizontal="center" vertical="top" wrapText="1"/>
    </xf>
    <xf numFmtId="0" fontId="41" fillId="0" borderId="0" xfId="3" applyFont="1" applyAlignment="1">
      <alignment horizontal="center" vertical="top" wrapText="1"/>
    </xf>
    <xf numFmtId="0" fontId="43" fillId="0" borderId="0" xfId="3" applyFont="1" applyAlignment="1">
      <alignment vertical="top" wrapText="1"/>
    </xf>
    <xf numFmtId="0" fontId="1" fillId="0" borderId="41" xfId="3" applyBorder="1">
      <alignment vertical="center"/>
    </xf>
    <xf numFmtId="0" fontId="1" fillId="0" borderId="25" xfId="3" applyBorder="1">
      <alignment vertical="center"/>
    </xf>
    <xf numFmtId="0" fontId="1" fillId="0" borderId="70" xfId="3" applyBorder="1" applyAlignment="1">
      <alignment horizontal="left" vertical="center"/>
    </xf>
    <xf numFmtId="0" fontId="1" fillId="0" borderId="39" xfId="3" applyBorder="1">
      <alignment vertical="center"/>
    </xf>
    <xf numFmtId="0" fontId="1" fillId="0" borderId="6" xfId="3" applyBorder="1">
      <alignment vertical="center"/>
    </xf>
    <xf numFmtId="0" fontId="1" fillId="0" borderId="3" xfId="3" applyBorder="1" applyAlignment="1">
      <alignment horizontal="left" vertical="center"/>
    </xf>
    <xf numFmtId="0" fontId="1" fillId="0" borderId="0" xfId="3" applyAlignment="1">
      <alignment horizontal="left" vertical="center"/>
    </xf>
    <xf numFmtId="0" fontId="1" fillId="0" borderId="46" xfId="3" applyBorder="1">
      <alignment vertical="center"/>
    </xf>
    <xf numFmtId="0" fontId="1" fillId="0" borderId="28" xfId="3" applyBorder="1">
      <alignment vertical="center"/>
    </xf>
    <xf numFmtId="0" fontId="1" fillId="0" borderId="27" xfId="3" applyBorder="1" applyAlignment="1">
      <alignment horizontal="left" vertical="center"/>
    </xf>
    <xf numFmtId="0" fontId="1" fillId="0" borderId="36" xfId="3" applyBorder="1">
      <alignment vertical="center"/>
    </xf>
    <xf numFmtId="0" fontId="1" fillId="0" borderId="16" xfId="3" applyBorder="1">
      <alignment vertical="center"/>
    </xf>
    <xf numFmtId="0" fontId="1" fillId="0" borderId="45" xfId="3" applyBorder="1">
      <alignment vertical="center"/>
    </xf>
    <xf numFmtId="0" fontId="1" fillId="38" borderId="3" xfId="3" applyFill="1" applyBorder="1" applyAlignment="1">
      <alignment horizontal="left" vertical="center"/>
    </xf>
    <xf numFmtId="0" fontId="1" fillId="38" borderId="6" xfId="3" applyFill="1" applyBorder="1">
      <alignment vertical="center"/>
    </xf>
    <xf numFmtId="0" fontId="1" fillId="38" borderId="39" xfId="3" applyFill="1" applyBorder="1">
      <alignment vertical="center"/>
    </xf>
    <xf numFmtId="0" fontId="1" fillId="38" borderId="0" xfId="3" applyFill="1">
      <alignment vertical="center"/>
    </xf>
    <xf numFmtId="0" fontId="32" fillId="0" borderId="0" xfId="3" applyFont="1" applyAlignment="1">
      <alignment horizontal="left" vertical="center" wrapText="1"/>
    </xf>
    <xf numFmtId="0" fontId="1" fillId="0" borderId="0" xfId="3" applyAlignment="1">
      <alignment horizontal="left" vertical="center"/>
    </xf>
    <xf numFmtId="0" fontId="26" fillId="16" borderId="6" xfId="0" applyFont="1" applyFill="1" applyBorder="1" applyAlignment="1">
      <alignment horizontal="left" vertical="top" wrapText="1"/>
    </xf>
    <xf numFmtId="0" fontId="23" fillId="0" borderId="6" xfId="0" applyFont="1" applyBorder="1" applyAlignment="1">
      <alignment horizontal="left" vertical="center" wrapText="1"/>
    </xf>
    <xf numFmtId="0" fontId="30" fillId="0" borderId="6" xfId="0" applyFont="1" applyBorder="1" applyAlignment="1">
      <alignment horizontal="left" vertical="center" wrapText="1"/>
    </xf>
    <xf numFmtId="0" fontId="31" fillId="0" borderId="6" xfId="0" applyFont="1" applyBorder="1" applyAlignment="1">
      <alignment horizontal="left" vertical="center" wrapText="1"/>
    </xf>
    <xf numFmtId="0" fontId="34" fillId="0" borderId="0" xfId="0" applyFont="1"/>
    <xf numFmtId="0" fontId="34" fillId="0" borderId="6" xfId="0" applyFont="1" applyBorder="1" applyAlignment="1">
      <alignment horizontal="left" vertical="center" wrapText="1"/>
    </xf>
    <xf numFmtId="0" fontId="34" fillId="0" borderId="3" xfId="0" applyFont="1" applyBorder="1" applyAlignment="1">
      <alignment vertical="center"/>
    </xf>
    <xf numFmtId="0" fontId="34" fillId="0" borderId="24" xfId="0" applyFont="1" applyBorder="1" applyAlignment="1">
      <alignment vertical="center"/>
    </xf>
    <xf numFmtId="0" fontId="33" fillId="0" borderId="6" xfId="0" applyFont="1" applyBorder="1" applyAlignment="1">
      <alignment horizontal="left" vertical="center" wrapText="1"/>
    </xf>
    <xf numFmtId="0" fontId="33" fillId="0" borderId="0" xfId="2" applyFont="1" applyBorder="1" applyAlignment="1">
      <alignment horizontal="left" vertical="top" wrapText="1"/>
    </xf>
    <xf numFmtId="0" fontId="34" fillId="0" borderId="0" xfId="2" applyFont="1" applyBorder="1" applyAlignment="1">
      <alignment horizontal="left" vertical="top" wrapText="1"/>
    </xf>
    <xf numFmtId="0" fontId="35" fillId="0" borderId="0" xfId="2" applyFont="1" applyBorder="1" applyAlignment="1">
      <alignment horizontal="left" vertical="top" wrapText="1"/>
    </xf>
    <xf numFmtId="0" fontId="33" fillId="0" borderId="0" xfId="0" applyFont="1" applyBorder="1" applyAlignment="1">
      <alignment horizontal="left" vertical="center" wrapText="1"/>
    </xf>
    <xf numFmtId="0" fontId="33" fillId="0" borderId="49" xfId="0" applyFont="1" applyBorder="1" applyAlignment="1">
      <alignment horizontal="left" vertical="center" wrapText="1"/>
    </xf>
    <xf numFmtId="0" fontId="36" fillId="0" borderId="4"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36" fillId="0" borderId="32" xfId="0" applyFont="1" applyBorder="1" applyAlignment="1">
      <alignment horizontal="left" vertical="center" wrapText="1"/>
    </xf>
    <xf numFmtId="0" fontId="32" fillId="0" borderId="33" xfId="3" applyFont="1" applyBorder="1" applyAlignment="1">
      <alignment horizontal="left" vertical="center" wrapText="1"/>
    </xf>
    <xf numFmtId="0" fontId="32" fillId="0" borderId="34" xfId="3" applyFont="1" applyBorder="1" applyAlignment="1">
      <alignment horizontal="left" vertical="center" wrapText="1"/>
    </xf>
    <xf numFmtId="0" fontId="50" fillId="0" borderId="0" xfId="0" applyFont="1" applyBorder="1" applyAlignment="1">
      <alignment horizontal="left" vertical="top" wrapText="1"/>
    </xf>
    <xf numFmtId="0" fontId="51" fillId="0" borderId="0" xfId="0" quotePrefix="1" applyFont="1" applyBorder="1" applyAlignment="1">
      <alignment horizontal="left" vertical="top" wrapText="1"/>
    </xf>
    <xf numFmtId="0" fontId="51" fillId="0" borderId="0" xfId="0" applyFont="1" applyBorder="1" applyAlignment="1">
      <alignment horizontal="left" vertical="top" wrapText="1"/>
    </xf>
    <xf numFmtId="16" fontId="51" fillId="0" borderId="0" xfId="0" applyNumberFormat="1" applyFont="1" applyBorder="1" applyAlignment="1">
      <alignment horizontal="left" vertical="top" wrapText="1"/>
    </xf>
    <xf numFmtId="0" fontId="49" fillId="0" borderId="6" xfId="0" applyFont="1" applyBorder="1" applyAlignment="1">
      <alignment horizontal="left" vertical="top" wrapText="1"/>
    </xf>
    <xf numFmtId="0" fontId="49" fillId="0" borderId="6" xfId="0" applyFont="1" applyBorder="1" applyAlignment="1">
      <alignment horizontal="left" vertical="top" wrapText="1"/>
    </xf>
    <xf numFmtId="0" fontId="51" fillId="0" borderId="6" xfId="0" quotePrefix="1" applyFont="1" applyBorder="1" applyAlignment="1">
      <alignment horizontal="left" vertical="top" wrapText="1"/>
    </xf>
    <xf numFmtId="0" fontId="51" fillId="0" borderId="6" xfId="0" applyFont="1" applyBorder="1" applyAlignment="1">
      <alignment horizontal="left" vertical="top" wrapText="1"/>
    </xf>
    <xf numFmtId="0" fontId="50" fillId="0" borderId="6" xfId="0" applyFont="1" applyBorder="1" applyAlignment="1">
      <alignment horizontal="left" vertical="top" wrapText="1"/>
    </xf>
    <xf numFmtId="16" fontId="51" fillId="0" borderId="6" xfId="0" applyNumberFormat="1" applyFont="1" applyBorder="1" applyAlignment="1">
      <alignment horizontal="left" vertical="top" wrapText="1"/>
    </xf>
    <xf numFmtId="16" fontId="50" fillId="0" borderId="6" xfId="0" applyNumberFormat="1" applyFont="1" applyBorder="1" applyAlignment="1">
      <alignment horizontal="left" vertical="top" wrapText="1"/>
    </xf>
    <xf numFmtId="16" fontId="51" fillId="0" borderId="6" xfId="0" quotePrefix="1" applyNumberFormat="1" applyFont="1" applyBorder="1" applyAlignment="1">
      <alignment horizontal="left" vertical="top" wrapText="1"/>
    </xf>
    <xf numFmtId="0" fontId="50" fillId="0" borderId="6" xfId="0" quotePrefix="1" applyFont="1" applyBorder="1" applyAlignment="1">
      <alignment horizontal="left" vertical="top" wrapText="1"/>
    </xf>
    <xf numFmtId="0" fontId="48" fillId="39" borderId="6" xfId="0" applyFont="1" applyFill="1" applyBorder="1" applyAlignment="1">
      <alignment horizontal="left" vertical="top" wrapText="1"/>
    </xf>
    <xf numFmtId="0" fontId="34" fillId="0" borderId="12" xfId="0" applyFont="1" applyBorder="1" applyAlignment="1">
      <alignment vertical="top" wrapText="1"/>
    </xf>
    <xf numFmtId="0" fontId="34" fillId="0" borderId="51" xfId="0" applyFont="1" applyBorder="1" applyAlignment="1">
      <alignment vertical="top" wrapText="1"/>
    </xf>
    <xf numFmtId="0" fontId="34" fillId="21" borderId="12" xfId="0" applyFont="1" applyFill="1" applyBorder="1" applyAlignment="1">
      <alignment vertical="top" wrapText="1"/>
    </xf>
    <xf numFmtId="0" fontId="34" fillId="23" borderId="68" xfId="0" applyFont="1" applyFill="1" applyBorder="1" applyAlignment="1">
      <alignment vertical="top" wrapText="1"/>
    </xf>
    <xf numFmtId="0" fontId="34" fillId="0" borderId="68" xfId="0" applyFont="1" applyBorder="1" applyAlignment="1">
      <alignment vertical="top" wrapText="1"/>
    </xf>
    <xf numFmtId="0" fontId="34" fillId="18" borderId="42" xfId="0" applyFont="1" applyFill="1" applyBorder="1" applyAlignment="1">
      <alignment vertical="top" wrapText="1"/>
    </xf>
    <xf numFmtId="0" fontId="34" fillId="19" borderId="68" xfId="0" applyFont="1" applyFill="1" applyBorder="1" applyAlignment="1">
      <alignment vertical="top" wrapText="1"/>
    </xf>
    <xf numFmtId="0" fontId="34" fillId="0" borderId="51" xfId="0" applyFont="1" applyBorder="1" applyAlignment="1">
      <alignment horizontal="left" vertical="top" wrapText="1"/>
    </xf>
    <xf numFmtId="0" fontId="34" fillId="0" borderId="2" xfId="0" applyFont="1" applyBorder="1" applyAlignment="1">
      <alignment vertical="top" wrapText="1"/>
    </xf>
    <xf numFmtId="0" fontId="34" fillId="0" borderId="0" xfId="0" applyFont="1" applyAlignment="1">
      <alignment vertical="top" wrapText="1"/>
    </xf>
    <xf numFmtId="0" fontId="34" fillId="0" borderId="69" xfId="0" applyFont="1" applyBorder="1" applyAlignment="1">
      <alignment vertical="top" wrapText="1"/>
    </xf>
    <xf numFmtId="0" fontId="34" fillId="0" borderId="0" xfId="0" applyFont="1" applyAlignment="1">
      <alignment horizontal="left" vertical="top" wrapText="1"/>
    </xf>
    <xf numFmtId="0" fontId="43" fillId="0" borderId="0" xfId="3" applyFont="1" applyAlignment="1">
      <alignment horizontal="right"/>
    </xf>
  </cellXfs>
  <cellStyles count="4">
    <cellStyle name="Normal" xfId="0" builtinId="0"/>
    <cellStyle name="Normal 2" xfId="2" xr:uid="{F1CADB84-1FE7-4201-A32B-1A175560C7BD}"/>
    <cellStyle name="Normal 3" xfId="3" xr:uid="{34741967-8AB6-4A12-BB68-3210710B578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US"/>
              <a:t>Performance trend of different iterations of product.</a:t>
            </a:r>
          </a:p>
        </c:rich>
      </c:tx>
      <c:layout>
        <c:manualLayout>
          <c:xMode val="edge"/>
          <c:yMode val="edge"/>
          <c:x val="3.2905561039815699E-3"/>
          <c:y val="8.9867841409691594E-3"/>
        </c:manualLayout>
      </c:layout>
      <c:overlay val="0"/>
      <c:spPr>
        <a:noFill/>
        <a:ln>
          <a:noFill/>
        </a:ln>
        <a:effectLst/>
      </c:spPr>
      <c:txPr>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'[1]Decision Matrix'!$H$214</c:f>
              <c:strCache>
                <c:ptCount val="1"/>
                <c:pt idx="0">
                  <c:v>Normalised 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'[1]Decision Matrix'!$I$213:$K$213</c:f>
              <c:strCache>
                <c:ptCount val="3"/>
                <c:pt idx="0">
                  <c:v>Iteration 2.1</c:v>
                </c:pt>
                <c:pt idx="1">
                  <c:v>Iteration 2.2</c:v>
                </c:pt>
                <c:pt idx="2">
                  <c:v>Iteration 2.3</c:v>
                </c:pt>
              </c:strCache>
            </c:strRef>
          </c:cat>
          <c:val>
            <c:numRef>
              <c:f>'[1]Decision Matrix'!$I$214:$K$214</c:f>
              <c:numCache>
                <c:formatCode>General</c:formatCode>
                <c:ptCount val="3"/>
                <c:pt idx="0">
                  <c:v>0.37941480940202199</c:v>
                </c:pt>
                <c:pt idx="1">
                  <c:v>0.426086956521739</c:v>
                </c:pt>
                <c:pt idx="2">
                  <c:v>0.57016806722689095</c:v>
                </c:pt>
              </c:numCache>
            </c:numRef>
          </c:val>
          <c:smooth val="0"/>
          <c:extLst>
            <c:ext xmlns:c16="http://schemas.microsoft.com/office/drawing/2014/chart" uri="{C3380CC4-5D6E-409C-BE32-E72D297353CC}">
              <c16:uniqueId val="{00000000-D88E-4BD7-9361-BB7D61319701}"/>
            </c:ext>
          </c:extLst>
        </c:ser>
        <c:dLbls>
          <c:showLegendKey val="0"/>
          <c:showVal val="0"/>
          <c:showCatName val="0"/>
          <c:showSerName val="0"/>
          <c:showPercent val="0"/>
          <c:showBubbleSize val="0"/>
        </c:dLbls>
        <c:marker val="1"/>
        <c:smooth val="0"/>
        <c:axId val="629179072"/>
        <c:axId val="603291968"/>
      </c:lineChart>
      <c:catAx>
        <c:axId val="629179072"/>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603291968"/>
        <c:crosses val="autoZero"/>
        <c:auto val="1"/>
        <c:lblAlgn val="ctr"/>
        <c:lblOffset val="100"/>
        <c:noMultiLvlLbl val="0"/>
      </c:catAx>
      <c:valAx>
        <c:axId val="60329196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629179072"/>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876be7d-4fff-4f3b-a186-bbceb02eeb89}"/>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657225</xdr:colOff>
      <xdr:row>212</xdr:row>
      <xdr:rowOff>94615</xdr:rowOff>
    </xdr:from>
    <xdr:to>
      <xdr:col>5</xdr:col>
      <xdr:colOff>737870</xdr:colOff>
      <xdr:row>228</xdr:row>
      <xdr:rowOff>217805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7620</xdr:colOff>
      <xdr:row>1</xdr:row>
      <xdr:rowOff>30480</xdr:rowOff>
    </xdr:from>
    <xdr:to>
      <xdr:col>14</xdr:col>
      <xdr:colOff>610235</xdr:colOff>
      <xdr:row>3</xdr:row>
      <xdr:rowOff>21590</xdr:rowOff>
    </xdr:to>
    <xdr:sp macro="" textlink="">
      <xdr:nvSpPr>
        <xdr:cNvPr id="2" name="Rectangles 1">
          <a:extLst>
            <a:ext uri="{FF2B5EF4-FFF2-40B4-BE49-F238E27FC236}">
              <a16:creationId xmlns:a16="http://schemas.microsoft.com/office/drawing/2014/main" id="{0B9B5CB2-15B2-4293-AAFB-AE8E6C4698DB}"/>
            </a:ext>
          </a:extLst>
        </xdr:cNvPr>
        <xdr:cNvSpPr/>
      </xdr:nvSpPr>
      <xdr:spPr>
        <a:xfrm>
          <a:off x="7932420" y="21336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Non optimal route suggestion</a:t>
          </a:r>
        </a:p>
      </xdr:txBody>
    </xdr:sp>
    <xdr:clientData/>
  </xdr:twoCellAnchor>
  <xdr:twoCellAnchor>
    <xdr:from>
      <xdr:col>5</xdr:col>
      <xdr:colOff>393700</xdr:colOff>
      <xdr:row>5</xdr:row>
      <xdr:rowOff>12700</xdr:rowOff>
    </xdr:from>
    <xdr:to>
      <xdr:col>7</xdr:col>
      <xdr:colOff>386715</xdr:colOff>
      <xdr:row>7</xdr:row>
      <xdr:rowOff>43180</xdr:rowOff>
    </xdr:to>
    <xdr:sp macro="" textlink="">
      <xdr:nvSpPr>
        <xdr:cNvPr id="3" name="Rectangles 2">
          <a:extLst>
            <a:ext uri="{FF2B5EF4-FFF2-40B4-BE49-F238E27FC236}">
              <a16:creationId xmlns:a16="http://schemas.microsoft.com/office/drawing/2014/main" id="{D01179C0-822F-4114-A5CB-6BC571E458C7}"/>
            </a:ext>
          </a:extLst>
        </xdr:cNvPr>
        <xdr:cNvSpPr/>
      </xdr:nvSpPr>
      <xdr:spPr>
        <a:xfrm>
          <a:off x="3441700" y="927100"/>
          <a:ext cx="1212215" cy="39624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GB" sz="800"/>
            <a:t>Optimization algorithm failure</a:t>
          </a:r>
        </a:p>
      </xdr:txBody>
    </xdr:sp>
    <xdr:clientData/>
  </xdr:twoCellAnchor>
  <xdr:twoCellAnchor>
    <xdr:from>
      <xdr:col>7</xdr:col>
      <xdr:colOff>314960</xdr:colOff>
      <xdr:row>15</xdr:row>
      <xdr:rowOff>10160</xdr:rowOff>
    </xdr:from>
    <xdr:to>
      <xdr:col>9</xdr:col>
      <xdr:colOff>307975</xdr:colOff>
      <xdr:row>17</xdr:row>
      <xdr:rowOff>1270</xdr:rowOff>
    </xdr:to>
    <xdr:sp macro="" textlink="">
      <xdr:nvSpPr>
        <xdr:cNvPr id="4" name="Rectangles 3">
          <a:extLst>
            <a:ext uri="{FF2B5EF4-FFF2-40B4-BE49-F238E27FC236}">
              <a16:creationId xmlns:a16="http://schemas.microsoft.com/office/drawing/2014/main" id="{76D68166-F6D6-4FB5-B32A-12806DCC397C}"/>
            </a:ext>
          </a:extLst>
        </xdr:cNvPr>
        <xdr:cNvSpPr/>
      </xdr:nvSpPr>
      <xdr:spPr>
        <a:xfrm>
          <a:off x="4582160" y="275336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Weak GPS signal by satellite</a:t>
          </a:r>
        </a:p>
      </xdr:txBody>
    </xdr:sp>
    <xdr:clientData/>
  </xdr:twoCellAnchor>
  <xdr:twoCellAnchor>
    <xdr:from>
      <xdr:col>10</xdr:col>
      <xdr:colOff>7620</xdr:colOff>
      <xdr:row>15</xdr:row>
      <xdr:rowOff>15240</xdr:rowOff>
    </xdr:from>
    <xdr:to>
      <xdr:col>12</xdr:col>
      <xdr:colOff>0</xdr:colOff>
      <xdr:row>16</xdr:row>
      <xdr:rowOff>181610</xdr:rowOff>
    </xdr:to>
    <xdr:sp macro="" textlink="">
      <xdr:nvSpPr>
        <xdr:cNvPr id="5" name="Rectangles 4">
          <a:extLst>
            <a:ext uri="{FF2B5EF4-FFF2-40B4-BE49-F238E27FC236}">
              <a16:creationId xmlns:a16="http://schemas.microsoft.com/office/drawing/2014/main" id="{A328DC76-5ED5-481B-84BC-0278973F9A02}"/>
            </a:ext>
          </a:extLst>
        </xdr:cNvPr>
        <xdr:cNvSpPr/>
      </xdr:nvSpPr>
      <xdr:spPr>
        <a:xfrm>
          <a:off x="6103620" y="2758440"/>
          <a:ext cx="1211580" cy="3492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Poor GPS update rate</a:t>
          </a:r>
        </a:p>
      </xdr:txBody>
    </xdr:sp>
    <xdr:clientData/>
  </xdr:twoCellAnchor>
  <xdr:twoCellAnchor>
    <xdr:from>
      <xdr:col>12</xdr:col>
      <xdr:colOff>386080</xdr:colOff>
      <xdr:row>15</xdr:row>
      <xdr:rowOff>20320</xdr:rowOff>
    </xdr:from>
    <xdr:to>
      <xdr:col>14</xdr:col>
      <xdr:colOff>379095</xdr:colOff>
      <xdr:row>17</xdr:row>
      <xdr:rowOff>3810</xdr:rowOff>
    </xdr:to>
    <xdr:sp macro="" textlink="">
      <xdr:nvSpPr>
        <xdr:cNvPr id="6" name="Rectangles 5">
          <a:extLst>
            <a:ext uri="{FF2B5EF4-FFF2-40B4-BE49-F238E27FC236}">
              <a16:creationId xmlns:a16="http://schemas.microsoft.com/office/drawing/2014/main" id="{6A775062-DBBD-4AA1-B865-E853A69D7EDA}"/>
            </a:ext>
          </a:extLst>
        </xdr:cNvPr>
        <xdr:cNvSpPr/>
      </xdr:nvSpPr>
      <xdr:spPr>
        <a:xfrm>
          <a:off x="7701280" y="2763520"/>
          <a:ext cx="1212215" cy="3492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Software error in reading GPS data</a:t>
          </a:r>
        </a:p>
      </xdr:txBody>
    </xdr:sp>
    <xdr:clientData/>
  </xdr:twoCellAnchor>
  <xdr:twoCellAnchor>
    <xdr:from>
      <xdr:col>4</xdr:col>
      <xdr:colOff>17780</xdr:colOff>
      <xdr:row>9</xdr:row>
      <xdr:rowOff>170180</xdr:rowOff>
    </xdr:from>
    <xdr:to>
      <xdr:col>6</xdr:col>
      <xdr:colOff>10795</xdr:colOff>
      <xdr:row>12</xdr:row>
      <xdr:rowOff>17145</xdr:rowOff>
    </xdr:to>
    <xdr:sp macro="" textlink="">
      <xdr:nvSpPr>
        <xdr:cNvPr id="7" name="Rectangles 6">
          <a:extLst>
            <a:ext uri="{FF2B5EF4-FFF2-40B4-BE49-F238E27FC236}">
              <a16:creationId xmlns:a16="http://schemas.microsoft.com/office/drawing/2014/main" id="{736CBFE6-C862-4F4F-9B9F-5DECC0F0D4B4}"/>
            </a:ext>
          </a:extLst>
        </xdr:cNvPr>
        <xdr:cNvSpPr/>
      </xdr:nvSpPr>
      <xdr:spPr>
        <a:xfrm>
          <a:off x="2456180" y="1816100"/>
          <a:ext cx="1212215" cy="39560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Wrong optimization parameter by user</a:t>
          </a:r>
        </a:p>
      </xdr:txBody>
    </xdr:sp>
    <xdr:clientData/>
  </xdr:twoCellAnchor>
  <xdr:twoCellAnchor>
    <xdr:from>
      <xdr:col>6</xdr:col>
      <xdr:colOff>594360</xdr:colOff>
      <xdr:row>10</xdr:row>
      <xdr:rowOff>7620</xdr:rowOff>
    </xdr:from>
    <xdr:to>
      <xdr:col>8</xdr:col>
      <xdr:colOff>587375</xdr:colOff>
      <xdr:row>12</xdr:row>
      <xdr:rowOff>45085</xdr:rowOff>
    </xdr:to>
    <xdr:sp macro="" textlink="">
      <xdr:nvSpPr>
        <xdr:cNvPr id="8" name="Rectangles 7">
          <a:extLst>
            <a:ext uri="{FF2B5EF4-FFF2-40B4-BE49-F238E27FC236}">
              <a16:creationId xmlns:a16="http://schemas.microsoft.com/office/drawing/2014/main" id="{3E4E20D3-6529-443F-97B9-CE3C4C12907E}"/>
            </a:ext>
          </a:extLst>
        </xdr:cNvPr>
        <xdr:cNvSpPr/>
      </xdr:nvSpPr>
      <xdr:spPr>
        <a:xfrm>
          <a:off x="4251960" y="1836420"/>
          <a:ext cx="1212215" cy="40322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Multiobjective solver optimization numerical instability</a:t>
          </a:r>
        </a:p>
      </xdr:txBody>
    </xdr:sp>
    <xdr:clientData/>
  </xdr:twoCellAnchor>
  <xdr:twoCellAnchor>
    <xdr:from>
      <xdr:col>9</xdr:col>
      <xdr:colOff>568960</xdr:colOff>
      <xdr:row>9</xdr:row>
      <xdr:rowOff>180340</xdr:rowOff>
    </xdr:from>
    <xdr:to>
      <xdr:col>11</xdr:col>
      <xdr:colOff>561975</xdr:colOff>
      <xdr:row>12</xdr:row>
      <xdr:rowOff>27940</xdr:rowOff>
    </xdr:to>
    <xdr:sp macro="" textlink="">
      <xdr:nvSpPr>
        <xdr:cNvPr id="9" name="Rectangles 8">
          <a:extLst>
            <a:ext uri="{FF2B5EF4-FFF2-40B4-BE49-F238E27FC236}">
              <a16:creationId xmlns:a16="http://schemas.microsoft.com/office/drawing/2014/main" id="{08BA705A-99DE-4543-9F76-300DE4AD26C0}"/>
            </a:ext>
          </a:extLst>
        </xdr:cNvPr>
        <xdr:cNvSpPr/>
      </xdr:nvSpPr>
      <xdr:spPr>
        <a:xfrm>
          <a:off x="6055360" y="1826260"/>
          <a:ext cx="1212215" cy="39624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GPS signal</a:t>
          </a:r>
        </a:p>
      </xdr:txBody>
    </xdr:sp>
    <xdr:clientData/>
  </xdr:twoCellAnchor>
  <xdr:twoCellAnchor>
    <xdr:from>
      <xdr:col>12</xdr:col>
      <xdr:colOff>505460</xdr:colOff>
      <xdr:row>9</xdr:row>
      <xdr:rowOff>162560</xdr:rowOff>
    </xdr:from>
    <xdr:to>
      <xdr:col>14</xdr:col>
      <xdr:colOff>498475</xdr:colOff>
      <xdr:row>12</xdr:row>
      <xdr:rowOff>8890</xdr:rowOff>
    </xdr:to>
    <xdr:sp macro="" textlink="">
      <xdr:nvSpPr>
        <xdr:cNvPr id="10" name="Rectangles 9">
          <a:extLst>
            <a:ext uri="{FF2B5EF4-FFF2-40B4-BE49-F238E27FC236}">
              <a16:creationId xmlns:a16="http://schemas.microsoft.com/office/drawing/2014/main" id="{410772A3-89B2-411D-B419-27B05E134438}"/>
            </a:ext>
          </a:extLst>
        </xdr:cNvPr>
        <xdr:cNvSpPr/>
      </xdr:nvSpPr>
      <xdr:spPr>
        <a:xfrm>
          <a:off x="7820660" y="1808480"/>
          <a:ext cx="1212215" cy="3949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Unexpected detour not accounted</a:t>
          </a:r>
        </a:p>
      </xdr:txBody>
    </xdr:sp>
    <xdr:clientData/>
  </xdr:twoCellAnchor>
  <xdr:twoCellAnchor>
    <xdr:from>
      <xdr:col>15</xdr:col>
      <xdr:colOff>198120</xdr:colOff>
      <xdr:row>9</xdr:row>
      <xdr:rowOff>152400</xdr:rowOff>
    </xdr:from>
    <xdr:to>
      <xdr:col>17</xdr:col>
      <xdr:colOff>190500</xdr:colOff>
      <xdr:row>12</xdr:row>
      <xdr:rowOff>21590</xdr:rowOff>
    </xdr:to>
    <xdr:sp macro="" textlink="">
      <xdr:nvSpPr>
        <xdr:cNvPr id="11" name="Rectangles 10">
          <a:extLst>
            <a:ext uri="{FF2B5EF4-FFF2-40B4-BE49-F238E27FC236}">
              <a16:creationId xmlns:a16="http://schemas.microsoft.com/office/drawing/2014/main" id="{DD4108E5-04DE-4402-ABA4-0A1990DB1E9F}"/>
            </a:ext>
          </a:extLst>
        </xdr:cNvPr>
        <xdr:cNvSpPr/>
      </xdr:nvSpPr>
      <xdr:spPr>
        <a:xfrm>
          <a:off x="9342120" y="1798320"/>
          <a:ext cx="1211580" cy="41783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Traffic condition not updated</a:t>
          </a:r>
        </a:p>
      </xdr:txBody>
    </xdr:sp>
    <xdr:clientData/>
  </xdr:twoCellAnchor>
  <xdr:twoCellAnchor>
    <xdr:from>
      <xdr:col>12</xdr:col>
      <xdr:colOff>599440</xdr:colOff>
      <xdr:row>5</xdr:row>
      <xdr:rowOff>12700</xdr:rowOff>
    </xdr:from>
    <xdr:to>
      <xdr:col>14</xdr:col>
      <xdr:colOff>592455</xdr:colOff>
      <xdr:row>7</xdr:row>
      <xdr:rowOff>41275</xdr:rowOff>
    </xdr:to>
    <xdr:sp macro="" textlink="">
      <xdr:nvSpPr>
        <xdr:cNvPr id="12" name="Rectangles 11">
          <a:extLst>
            <a:ext uri="{FF2B5EF4-FFF2-40B4-BE49-F238E27FC236}">
              <a16:creationId xmlns:a16="http://schemas.microsoft.com/office/drawing/2014/main" id="{BEB58088-E32D-46DC-AB1E-C92E0FB5B445}"/>
            </a:ext>
          </a:extLst>
        </xdr:cNvPr>
        <xdr:cNvSpPr/>
      </xdr:nvSpPr>
      <xdr:spPr>
        <a:xfrm>
          <a:off x="7914640" y="927100"/>
          <a:ext cx="1212215" cy="39433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time required prediction</a:t>
          </a:r>
        </a:p>
      </xdr:txBody>
    </xdr:sp>
    <xdr:clientData/>
  </xdr:twoCellAnchor>
  <xdr:twoCellAnchor>
    <xdr:from>
      <xdr:col>18</xdr:col>
      <xdr:colOff>566420</xdr:colOff>
      <xdr:row>5</xdr:row>
      <xdr:rowOff>2540</xdr:rowOff>
    </xdr:from>
    <xdr:to>
      <xdr:col>20</xdr:col>
      <xdr:colOff>559435</xdr:colOff>
      <xdr:row>7</xdr:row>
      <xdr:rowOff>32385</xdr:rowOff>
    </xdr:to>
    <xdr:sp macro="" textlink="">
      <xdr:nvSpPr>
        <xdr:cNvPr id="13" name="Rectangles 12">
          <a:extLst>
            <a:ext uri="{FF2B5EF4-FFF2-40B4-BE49-F238E27FC236}">
              <a16:creationId xmlns:a16="http://schemas.microsoft.com/office/drawing/2014/main" id="{259E7020-B9F0-4E66-B2F4-74A5971376DB}"/>
            </a:ext>
          </a:extLst>
        </xdr:cNvPr>
        <xdr:cNvSpPr/>
      </xdr:nvSpPr>
      <xdr:spPr>
        <a:xfrm>
          <a:off x="11539220" y="916940"/>
          <a:ext cx="1212215" cy="39560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sun exposure prediction</a:t>
          </a:r>
        </a:p>
      </xdr:txBody>
    </xdr:sp>
    <xdr:clientData/>
  </xdr:twoCellAnchor>
  <xdr:twoCellAnchor>
    <xdr:from>
      <xdr:col>20</xdr:col>
      <xdr:colOff>205740</xdr:colOff>
      <xdr:row>9</xdr:row>
      <xdr:rowOff>167640</xdr:rowOff>
    </xdr:from>
    <xdr:to>
      <xdr:col>22</xdr:col>
      <xdr:colOff>198755</xdr:colOff>
      <xdr:row>12</xdr:row>
      <xdr:rowOff>44450</xdr:rowOff>
    </xdr:to>
    <xdr:sp macro="" textlink="">
      <xdr:nvSpPr>
        <xdr:cNvPr id="14" name="Rectangles 13">
          <a:extLst>
            <a:ext uri="{FF2B5EF4-FFF2-40B4-BE49-F238E27FC236}">
              <a16:creationId xmlns:a16="http://schemas.microsoft.com/office/drawing/2014/main" id="{E7BC8BDB-8E03-491A-BA69-46DEF14D4EA9}"/>
            </a:ext>
          </a:extLst>
        </xdr:cNvPr>
        <xdr:cNvSpPr/>
      </xdr:nvSpPr>
      <xdr:spPr>
        <a:xfrm>
          <a:off x="12397740" y="1813560"/>
          <a:ext cx="1212215" cy="4254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Incosistent orientation between sun position and infrastructure data</a:t>
          </a:r>
        </a:p>
      </xdr:txBody>
    </xdr:sp>
    <xdr:clientData/>
  </xdr:twoCellAnchor>
  <xdr:twoCellAnchor>
    <xdr:from>
      <xdr:col>17</xdr:col>
      <xdr:colOff>386080</xdr:colOff>
      <xdr:row>9</xdr:row>
      <xdr:rowOff>180340</xdr:rowOff>
    </xdr:from>
    <xdr:to>
      <xdr:col>19</xdr:col>
      <xdr:colOff>379095</xdr:colOff>
      <xdr:row>12</xdr:row>
      <xdr:rowOff>57785</xdr:rowOff>
    </xdr:to>
    <xdr:sp macro="" textlink="">
      <xdr:nvSpPr>
        <xdr:cNvPr id="15" name="Rectangles 14">
          <a:extLst>
            <a:ext uri="{FF2B5EF4-FFF2-40B4-BE49-F238E27FC236}">
              <a16:creationId xmlns:a16="http://schemas.microsoft.com/office/drawing/2014/main" id="{F5DC2E08-07BE-44C8-8139-74E920F4A976}"/>
            </a:ext>
          </a:extLst>
        </xdr:cNvPr>
        <xdr:cNvSpPr/>
      </xdr:nvSpPr>
      <xdr:spPr>
        <a:xfrm>
          <a:off x="10749280" y="1826260"/>
          <a:ext cx="1212215" cy="42608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Outdated weather data</a:t>
          </a:r>
        </a:p>
      </xdr:txBody>
    </xdr:sp>
    <xdr:clientData/>
  </xdr:twoCellAnchor>
  <xdr:twoCellAnchor>
    <xdr:from>
      <xdr:col>18</xdr:col>
      <xdr:colOff>482600</xdr:colOff>
      <xdr:row>15</xdr:row>
      <xdr:rowOff>10160</xdr:rowOff>
    </xdr:from>
    <xdr:to>
      <xdr:col>20</xdr:col>
      <xdr:colOff>475615</xdr:colOff>
      <xdr:row>17</xdr:row>
      <xdr:rowOff>17145</xdr:rowOff>
    </xdr:to>
    <xdr:sp macro="" textlink="">
      <xdr:nvSpPr>
        <xdr:cNvPr id="16" name="Rectangles 15">
          <a:extLst>
            <a:ext uri="{FF2B5EF4-FFF2-40B4-BE49-F238E27FC236}">
              <a16:creationId xmlns:a16="http://schemas.microsoft.com/office/drawing/2014/main" id="{428DDB33-E86B-4E54-ACA8-D6923A593133}"/>
            </a:ext>
          </a:extLst>
        </xdr:cNvPr>
        <xdr:cNvSpPr/>
      </xdr:nvSpPr>
      <xdr:spPr>
        <a:xfrm>
          <a:off x="11455400" y="2753360"/>
          <a:ext cx="1212215" cy="37274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Online data corruption</a:t>
          </a:r>
        </a:p>
      </xdr:txBody>
    </xdr:sp>
    <xdr:clientData/>
  </xdr:twoCellAnchor>
  <xdr:twoCellAnchor>
    <xdr:from>
      <xdr:col>16</xdr:col>
      <xdr:colOff>175260</xdr:colOff>
      <xdr:row>15</xdr:row>
      <xdr:rowOff>15240</xdr:rowOff>
    </xdr:from>
    <xdr:to>
      <xdr:col>18</xdr:col>
      <xdr:colOff>168275</xdr:colOff>
      <xdr:row>17</xdr:row>
      <xdr:rowOff>6350</xdr:rowOff>
    </xdr:to>
    <xdr:sp macro="" textlink="">
      <xdr:nvSpPr>
        <xdr:cNvPr id="17" name="Rectangles 16">
          <a:extLst>
            <a:ext uri="{FF2B5EF4-FFF2-40B4-BE49-F238E27FC236}">
              <a16:creationId xmlns:a16="http://schemas.microsoft.com/office/drawing/2014/main" id="{917E826A-25DA-4FB9-AFF5-6F8115138A50}"/>
            </a:ext>
          </a:extLst>
        </xdr:cNvPr>
        <xdr:cNvSpPr/>
      </xdr:nvSpPr>
      <xdr:spPr>
        <a:xfrm>
          <a:off x="9928860" y="275844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Offline data not updated</a:t>
          </a:r>
        </a:p>
      </xdr:txBody>
    </xdr:sp>
    <xdr:clientData/>
  </xdr:twoCellAnchor>
  <xdr:twoCellAnchor>
    <xdr:from>
      <xdr:col>20</xdr:col>
      <xdr:colOff>22860</xdr:colOff>
      <xdr:row>20</xdr:row>
      <xdr:rowOff>0</xdr:rowOff>
    </xdr:from>
    <xdr:to>
      <xdr:col>22</xdr:col>
      <xdr:colOff>15875</xdr:colOff>
      <xdr:row>21</xdr:row>
      <xdr:rowOff>181610</xdr:rowOff>
    </xdr:to>
    <xdr:sp macro="" textlink="">
      <xdr:nvSpPr>
        <xdr:cNvPr id="18" name="Rectangles 17">
          <a:extLst>
            <a:ext uri="{FF2B5EF4-FFF2-40B4-BE49-F238E27FC236}">
              <a16:creationId xmlns:a16="http://schemas.microsoft.com/office/drawing/2014/main" id="{9355914C-D405-4E43-9446-BE33AA0DA9CD}"/>
            </a:ext>
          </a:extLst>
        </xdr:cNvPr>
        <xdr:cNvSpPr/>
      </xdr:nvSpPr>
      <xdr:spPr>
        <a:xfrm>
          <a:off x="12214860" y="3657600"/>
          <a:ext cx="1212215" cy="36449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Incompatibility between online data format and system parser</a:t>
          </a:r>
        </a:p>
      </xdr:txBody>
    </xdr:sp>
    <xdr:clientData/>
  </xdr:twoCellAnchor>
  <xdr:twoCellAnchor>
    <xdr:from>
      <xdr:col>17</xdr:col>
      <xdr:colOff>203200</xdr:colOff>
      <xdr:row>19</xdr:row>
      <xdr:rowOff>180340</xdr:rowOff>
    </xdr:from>
    <xdr:to>
      <xdr:col>19</xdr:col>
      <xdr:colOff>196215</xdr:colOff>
      <xdr:row>22</xdr:row>
      <xdr:rowOff>4445</xdr:rowOff>
    </xdr:to>
    <xdr:sp macro="" textlink="">
      <xdr:nvSpPr>
        <xdr:cNvPr id="19" name="Rectangles 18">
          <a:extLst>
            <a:ext uri="{FF2B5EF4-FFF2-40B4-BE49-F238E27FC236}">
              <a16:creationId xmlns:a16="http://schemas.microsoft.com/office/drawing/2014/main" id="{6F68FF3A-5991-4F24-B6DE-EE70C74623B7}"/>
            </a:ext>
          </a:extLst>
        </xdr:cNvPr>
        <xdr:cNvSpPr/>
      </xdr:nvSpPr>
      <xdr:spPr>
        <a:xfrm>
          <a:off x="10566400" y="3655060"/>
          <a:ext cx="1212215" cy="37274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Server data corruption</a:t>
          </a:r>
        </a:p>
      </xdr:txBody>
    </xdr:sp>
    <xdr:clientData/>
  </xdr:twoCellAnchor>
  <xdr:twoCellAnchor>
    <xdr:from>
      <xdr:col>18</xdr:col>
      <xdr:colOff>169862</xdr:colOff>
      <xdr:row>12</xdr:row>
      <xdr:rowOff>77152</xdr:rowOff>
    </xdr:from>
    <xdr:to>
      <xdr:col>18</xdr:col>
      <xdr:colOff>503872</xdr:colOff>
      <xdr:row>13</xdr:row>
      <xdr:rowOff>93027</xdr:rowOff>
    </xdr:to>
    <xdr:sp macro="" textlink="">
      <xdr:nvSpPr>
        <xdr:cNvPr id="20" name="Flowchart: Delay 19">
          <a:extLst>
            <a:ext uri="{FF2B5EF4-FFF2-40B4-BE49-F238E27FC236}">
              <a16:creationId xmlns:a16="http://schemas.microsoft.com/office/drawing/2014/main" id="{08B06150-04E8-4E28-811A-F1E824B63794}"/>
            </a:ext>
          </a:extLst>
        </xdr:cNvPr>
        <xdr:cNvSpPr/>
      </xdr:nvSpPr>
      <xdr:spPr>
        <a:xfrm rot="16200000">
          <a:off x="11210289" y="2204085"/>
          <a:ext cx="198755" cy="334010"/>
        </a:xfrm>
        <a:prstGeom prst="flowChartDelay">
          <a:avLst/>
        </a:prstGeom>
        <a:solidFill>
          <a:srgbClr val="FF0000"/>
        </a:solidFill>
        <a:ln w="19050">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scene3d>
            <a:camera prst="orthographicFront">
              <a:rot lat="0" lon="0" rev="16200000"/>
            </a:camera>
            <a:lightRig rig="threePt" dir="t"/>
          </a:scene3d>
        </a:bodyP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en-GB" sz="700" b="1">
            <a:solidFill>
              <a:schemeClr val="tx1"/>
            </a:solidFill>
          </a:endParaRPr>
        </a:p>
      </xdr:txBody>
    </xdr:sp>
    <xdr:clientData/>
  </xdr:twoCellAnchor>
  <xdr:twoCellAnchor>
    <xdr:from>
      <xdr:col>13</xdr:col>
      <xdr:colOff>387350</xdr:colOff>
      <xdr:row>7</xdr:row>
      <xdr:rowOff>36830</xdr:rowOff>
    </xdr:from>
    <xdr:to>
      <xdr:col>14</xdr:col>
      <xdr:colOff>204470</xdr:colOff>
      <xdr:row>8</xdr:row>
      <xdr:rowOff>67310</xdr:rowOff>
    </xdr:to>
    <xdr:sp macro="" textlink="">
      <xdr:nvSpPr>
        <xdr:cNvPr id="21" name="Moon 20">
          <a:extLst>
            <a:ext uri="{FF2B5EF4-FFF2-40B4-BE49-F238E27FC236}">
              <a16:creationId xmlns:a16="http://schemas.microsoft.com/office/drawing/2014/main" id="{F72402FA-4683-4702-9255-49D6670E5429}"/>
            </a:ext>
          </a:extLst>
        </xdr:cNvPr>
        <xdr:cNvSpPr/>
      </xdr:nvSpPr>
      <xdr:spPr>
        <a:xfrm rot="5400000">
          <a:off x="8418830" y="121031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6</xdr:col>
      <xdr:colOff>217170</xdr:colOff>
      <xdr:row>7</xdr:row>
      <xdr:rowOff>49530</xdr:rowOff>
    </xdr:from>
    <xdr:to>
      <xdr:col>7</xdr:col>
      <xdr:colOff>72390</xdr:colOff>
      <xdr:row>8</xdr:row>
      <xdr:rowOff>49530</xdr:rowOff>
    </xdr:to>
    <xdr:sp macro="" textlink="">
      <xdr:nvSpPr>
        <xdr:cNvPr id="22" name="Moon 21">
          <a:extLst>
            <a:ext uri="{FF2B5EF4-FFF2-40B4-BE49-F238E27FC236}">
              <a16:creationId xmlns:a16="http://schemas.microsoft.com/office/drawing/2014/main" id="{AA57F530-5AD1-4559-93F9-310B111FABC5}"/>
            </a:ext>
          </a:extLst>
        </xdr:cNvPr>
        <xdr:cNvSpPr/>
      </xdr:nvSpPr>
      <xdr:spPr>
        <a:xfrm rot="5400000">
          <a:off x="4015740" y="1188720"/>
          <a:ext cx="182880" cy="4648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397510</xdr:colOff>
      <xdr:row>3</xdr:row>
      <xdr:rowOff>24130</xdr:rowOff>
    </xdr:from>
    <xdr:to>
      <xdr:col>14</xdr:col>
      <xdr:colOff>245110</xdr:colOff>
      <xdr:row>4</xdr:row>
      <xdr:rowOff>62230</xdr:rowOff>
    </xdr:to>
    <xdr:sp macro="" textlink="">
      <xdr:nvSpPr>
        <xdr:cNvPr id="23" name="Moon 22">
          <a:extLst>
            <a:ext uri="{FF2B5EF4-FFF2-40B4-BE49-F238E27FC236}">
              <a16:creationId xmlns:a16="http://schemas.microsoft.com/office/drawing/2014/main" id="{508DDC02-2CC9-4EB5-A79C-DD8FC90FC66C}"/>
            </a:ext>
          </a:extLst>
        </xdr:cNvPr>
        <xdr:cNvSpPr/>
      </xdr:nvSpPr>
      <xdr:spPr>
        <a:xfrm rot="5400000">
          <a:off x="8440420" y="454660"/>
          <a:ext cx="220980" cy="45720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14</xdr:col>
      <xdr:colOff>15240</xdr:colOff>
      <xdr:row>3</xdr:row>
      <xdr:rowOff>134620</xdr:rowOff>
    </xdr:from>
    <xdr:to>
      <xdr:col>14</xdr:col>
      <xdr:colOff>16510</xdr:colOff>
      <xdr:row>6</xdr:row>
      <xdr:rowOff>0</xdr:rowOff>
    </xdr:to>
    <xdr:cxnSp macro="">
      <xdr:nvCxnSpPr>
        <xdr:cNvPr id="24" name="Straight Connector 23">
          <a:extLst>
            <a:ext uri="{FF2B5EF4-FFF2-40B4-BE49-F238E27FC236}">
              <a16:creationId xmlns:a16="http://schemas.microsoft.com/office/drawing/2014/main" id="{54D53236-D733-47D8-884A-BF37F64C7BB4}"/>
            </a:ext>
          </a:extLst>
        </xdr:cNvPr>
        <xdr:cNvCxnSpPr>
          <a:stCxn id="23" idx="3"/>
        </xdr:cNvCxnSpPr>
      </xdr:nvCxnSpPr>
      <xdr:spPr>
        <a:xfrm flipH="1">
          <a:off x="8549640" y="683260"/>
          <a:ext cx="1270" cy="4140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xdr:col>
      <xdr:colOff>594360</xdr:colOff>
      <xdr:row>9</xdr:row>
      <xdr:rowOff>7620</xdr:rowOff>
    </xdr:from>
    <xdr:to>
      <xdr:col>8</xdr:col>
      <xdr:colOff>0</xdr:colOff>
      <xdr:row>9</xdr:row>
      <xdr:rowOff>22860</xdr:rowOff>
    </xdr:to>
    <xdr:cxnSp macro="">
      <xdr:nvCxnSpPr>
        <xdr:cNvPr id="25" name="Straight Connector 24">
          <a:extLst>
            <a:ext uri="{FF2B5EF4-FFF2-40B4-BE49-F238E27FC236}">
              <a16:creationId xmlns:a16="http://schemas.microsoft.com/office/drawing/2014/main" id="{CA973726-B901-4FDE-8C5C-AA07A74A1881}"/>
            </a:ext>
          </a:extLst>
        </xdr:cNvPr>
        <xdr:cNvCxnSpPr/>
      </xdr:nvCxnSpPr>
      <xdr:spPr>
        <a:xfrm>
          <a:off x="3032760" y="1653540"/>
          <a:ext cx="184404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xdr:col>
      <xdr:colOff>241300</xdr:colOff>
      <xdr:row>14</xdr:row>
      <xdr:rowOff>5080</xdr:rowOff>
    </xdr:from>
    <xdr:to>
      <xdr:col>13</xdr:col>
      <xdr:colOff>363220</xdr:colOff>
      <xdr:row>14</xdr:row>
      <xdr:rowOff>27940</xdr:rowOff>
    </xdr:to>
    <xdr:cxnSp macro="">
      <xdr:nvCxnSpPr>
        <xdr:cNvPr id="26" name="Straight Connector 25">
          <a:extLst>
            <a:ext uri="{FF2B5EF4-FFF2-40B4-BE49-F238E27FC236}">
              <a16:creationId xmlns:a16="http://schemas.microsoft.com/office/drawing/2014/main" id="{369D5856-DB56-432E-8E17-FAFB9D1EB39A}"/>
            </a:ext>
          </a:extLst>
        </xdr:cNvPr>
        <xdr:cNvCxnSpPr/>
      </xdr:nvCxnSpPr>
      <xdr:spPr>
        <a:xfrm>
          <a:off x="5118100" y="2565400"/>
          <a:ext cx="3169920" cy="2286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17</xdr:col>
      <xdr:colOff>106680</xdr:colOff>
      <xdr:row>14</xdr:row>
      <xdr:rowOff>0</xdr:rowOff>
    </xdr:from>
    <xdr:to>
      <xdr:col>19</xdr:col>
      <xdr:colOff>533400</xdr:colOff>
      <xdr:row>14</xdr:row>
      <xdr:rowOff>15240</xdr:rowOff>
    </xdr:to>
    <xdr:cxnSp macro="">
      <xdr:nvCxnSpPr>
        <xdr:cNvPr id="27" name="Straight Connector 26">
          <a:extLst>
            <a:ext uri="{FF2B5EF4-FFF2-40B4-BE49-F238E27FC236}">
              <a16:creationId xmlns:a16="http://schemas.microsoft.com/office/drawing/2014/main" id="{A1E69F38-255C-494A-ADA7-824A188EA7EA}"/>
            </a:ext>
          </a:extLst>
        </xdr:cNvPr>
        <xdr:cNvCxnSpPr/>
      </xdr:nvCxnSpPr>
      <xdr:spPr>
        <a:xfrm>
          <a:off x="10469880" y="2560320"/>
          <a:ext cx="164592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177800</xdr:colOff>
      <xdr:row>19</xdr:row>
      <xdr:rowOff>3175</xdr:rowOff>
    </xdr:from>
    <xdr:to>
      <xdr:col>21</xdr:col>
      <xdr:colOff>53975</xdr:colOff>
      <xdr:row>19</xdr:row>
      <xdr:rowOff>19050</xdr:rowOff>
    </xdr:to>
    <xdr:cxnSp macro="">
      <xdr:nvCxnSpPr>
        <xdr:cNvPr id="28" name="Straight Connector 27">
          <a:extLst>
            <a:ext uri="{FF2B5EF4-FFF2-40B4-BE49-F238E27FC236}">
              <a16:creationId xmlns:a16="http://schemas.microsoft.com/office/drawing/2014/main" id="{E49FAC86-0A7A-4951-9131-41DD95A6EB42}"/>
            </a:ext>
          </a:extLst>
        </xdr:cNvPr>
        <xdr:cNvCxnSpPr/>
      </xdr:nvCxnSpPr>
      <xdr:spPr>
        <a:xfrm>
          <a:off x="11150600" y="3477895"/>
          <a:ext cx="1704975" cy="15875"/>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311150</xdr:colOff>
      <xdr:row>9</xdr:row>
      <xdr:rowOff>13335</xdr:rowOff>
    </xdr:from>
    <xdr:to>
      <xdr:col>21</xdr:col>
      <xdr:colOff>288290</xdr:colOff>
      <xdr:row>9</xdr:row>
      <xdr:rowOff>18415</xdr:rowOff>
    </xdr:to>
    <xdr:cxnSp macro="">
      <xdr:nvCxnSpPr>
        <xdr:cNvPr id="29" name="Straight Connector 28">
          <a:extLst>
            <a:ext uri="{FF2B5EF4-FFF2-40B4-BE49-F238E27FC236}">
              <a16:creationId xmlns:a16="http://schemas.microsoft.com/office/drawing/2014/main" id="{E737C09B-D606-413D-BCAA-BFEAA8C341C7}"/>
            </a:ext>
          </a:extLst>
        </xdr:cNvPr>
        <xdr:cNvCxnSpPr/>
      </xdr:nvCxnSpPr>
      <xdr:spPr>
        <a:xfrm flipV="1">
          <a:off x="11283950" y="1659255"/>
          <a:ext cx="1805940" cy="508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10160</xdr:colOff>
      <xdr:row>9</xdr:row>
      <xdr:rowOff>15240</xdr:rowOff>
    </xdr:from>
    <xdr:to>
      <xdr:col>16</xdr:col>
      <xdr:colOff>22860</xdr:colOff>
      <xdr:row>9</xdr:row>
      <xdr:rowOff>17780</xdr:rowOff>
    </xdr:to>
    <xdr:cxnSp macro="">
      <xdr:nvCxnSpPr>
        <xdr:cNvPr id="30" name="Straight Connector 29">
          <a:extLst>
            <a:ext uri="{FF2B5EF4-FFF2-40B4-BE49-F238E27FC236}">
              <a16:creationId xmlns:a16="http://schemas.microsoft.com/office/drawing/2014/main" id="{C735DAD3-B811-4552-9C9F-59D9FDB2F156}"/>
            </a:ext>
          </a:extLst>
        </xdr:cNvPr>
        <xdr:cNvCxnSpPr/>
      </xdr:nvCxnSpPr>
      <xdr:spPr>
        <a:xfrm flipV="1">
          <a:off x="6715760" y="1661160"/>
          <a:ext cx="3060700" cy="25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426720</xdr:colOff>
      <xdr:row>4</xdr:row>
      <xdr:rowOff>83820</xdr:rowOff>
    </xdr:from>
    <xdr:to>
      <xdr:col>20</xdr:col>
      <xdr:colOff>30480</xdr:colOff>
      <xdr:row>4</xdr:row>
      <xdr:rowOff>99060</xdr:rowOff>
    </xdr:to>
    <xdr:cxnSp macro="">
      <xdr:nvCxnSpPr>
        <xdr:cNvPr id="31" name="Straight Connector 30">
          <a:extLst>
            <a:ext uri="{FF2B5EF4-FFF2-40B4-BE49-F238E27FC236}">
              <a16:creationId xmlns:a16="http://schemas.microsoft.com/office/drawing/2014/main" id="{FA8E63A9-E76D-4028-ACE7-9E3E5F43C9E2}"/>
            </a:ext>
          </a:extLst>
        </xdr:cNvPr>
        <xdr:cNvCxnSpPr/>
      </xdr:nvCxnSpPr>
      <xdr:spPr>
        <a:xfrm>
          <a:off x="4084320" y="815340"/>
          <a:ext cx="813816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431800</xdr:colOff>
      <xdr:row>4</xdr:row>
      <xdr:rowOff>71120</xdr:rowOff>
    </xdr:from>
    <xdr:to>
      <xdr:col>6</xdr:col>
      <xdr:colOff>433070</xdr:colOff>
      <xdr:row>6</xdr:row>
      <xdr:rowOff>119380</xdr:rowOff>
    </xdr:to>
    <xdr:cxnSp macro="">
      <xdr:nvCxnSpPr>
        <xdr:cNvPr id="32" name="Straight Connector 31">
          <a:extLst>
            <a:ext uri="{FF2B5EF4-FFF2-40B4-BE49-F238E27FC236}">
              <a16:creationId xmlns:a16="http://schemas.microsoft.com/office/drawing/2014/main" id="{F8F290EC-F734-49DF-992D-67D334D1E6DD}"/>
            </a:ext>
          </a:extLst>
        </xdr:cNvPr>
        <xdr:cNvCxnSpPr/>
      </xdr:nvCxnSpPr>
      <xdr:spPr>
        <a:xfrm flipH="1">
          <a:off x="4089400" y="802640"/>
          <a:ext cx="1270" cy="4140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20</xdr:col>
      <xdr:colOff>7620</xdr:colOff>
      <xdr:row>4</xdr:row>
      <xdr:rowOff>60960</xdr:rowOff>
    </xdr:from>
    <xdr:to>
      <xdr:col>20</xdr:col>
      <xdr:colOff>10160</xdr:colOff>
      <xdr:row>6</xdr:row>
      <xdr:rowOff>177800</xdr:rowOff>
    </xdr:to>
    <xdr:cxnSp macro="">
      <xdr:nvCxnSpPr>
        <xdr:cNvPr id="33" name="Straight Connector 32">
          <a:extLst>
            <a:ext uri="{FF2B5EF4-FFF2-40B4-BE49-F238E27FC236}">
              <a16:creationId xmlns:a16="http://schemas.microsoft.com/office/drawing/2014/main" id="{5F35AF63-7540-4330-8AB2-64E3266D0002}"/>
            </a:ext>
          </a:extLst>
        </xdr:cNvPr>
        <xdr:cNvCxnSpPr/>
      </xdr:nvCxnSpPr>
      <xdr:spPr>
        <a:xfrm>
          <a:off x="12199620" y="792480"/>
          <a:ext cx="2540" cy="4826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184785</xdr:colOff>
      <xdr:row>18</xdr:row>
      <xdr:rowOff>172085</xdr:rowOff>
    </xdr:from>
    <xdr:to>
      <xdr:col>18</xdr:col>
      <xdr:colOff>186055</xdr:colOff>
      <xdr:row>20</xdr:row>
      <xdr:rowOff>52705</xdr:rowOff>
    </xdr:to>
    <xdr:cxnSp macro="">
      <xdr:nvCxnSpPr>
        <xdr:cNvPr id="34" name="Straight Connector 33">
          <a:extLst>
            <a:ext uri="{FF2B5EF4-FFF2-40B4-BE49-F238E27FC236}">
              <a16:creationId xmlns:a16="http://schemas.microsoft.com/office/drawing/2014/main" id="{E2DE6DB7-B5BE-49BF-9EE0-9992E41F044C}"/>
            </a:ext>
          </a:extLst>
        </xdr:cNvPr>
        <xdr:cNvCxnSpPr/>
      </xdr:nvCxnSpPr>
      <xdr:spPr>
        <a:xfrm flipH="1">
          <a:off x="11157585" y="346392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xdr:col>
      <xdr:colOff>241300</xdr:colOff>
      <xdr:row>14</xdr:row>
      <xdr:rowOff>2540</xdr:rowOff>
    </xdr:from>
    <xdr:to>
      <xdr:col>8</xdr:col>
      <xdr:colOff>242570</xdr:colOff>
      <xdr:row>15</xdr:row>
      <xdr:rowOff>50800</xdr:rowOff>
    </xdr:to>
    <xdr:cxnSp macro="">
      <xdr:nvCxnSpPr>
        <xdr:cNvPr id="35" name="Straight Connector 34">
          <a:extLst>
            <a:ext uri="{FF2B5EF4-FFF2-40B4-BE49-F238E27FC236}">
              <a16:creationId xmlns:a16="http://schemas.microsoft.com/office/drawing/2014/main" id="{8833E63D-C3D1-48E9-BF02-E3916D0C8050}"/>
            </a:ext>
          </a:extLst>
        </xdr:cNvPr>
        <xdr:cNvCxnSpPr/>
      </xdr:nvCxnSpPr>
      <xdr:spPr>
        <a:xfrm flipH="1">
          <a:off x="5118100" y="2562860"/>
          <a:ext cx="1270" cy="23114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594360</xdr:colOff>
      <xdr:row>7</xdr:row>
      <xdr:rowOff>127000</xdr:rowOff>
    </xdr:from>
    <xdr:to>
      <xdr:col>13</xdr:col>
      <xdr:colOff>603250</xdr:colOff>
      <xdr:row>10</xdr:row>
      <xdr:rowOff>30480</xdr:rowOff>
    </xdr:to>
    <xdr:cxnSp macro="">
      <xdr:nvCxnSpPr>
        <xdr:cNvPr id="36" name="Straight Connector 35">
          <a:extLst>
            <a:ext uri="{FF2B5EF4-FFF2-40B4-BE49-F238E27FC236}">
              <a16:creationId xmlns:a16="http://schemas.microsoft.com/office/drawing/2014/main" id="{BF9ECC8B-0B11-46A0-B6A2-951AF16B0899}"/>
            </a:ext>
          </a:extLst>
        </xdr:cNvPr>
        <xdr:cNvCxnSpPr/>
      </xdr:nvCxnSpPr>
      <xdr:spPr>
        <a:xfrm flipH="1">
          <a:off x="8519160" y="1407160"/>
          <a:ext cx="8890" cy="4521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342900</xdr:colOff>
      <xdr:row>14</xdr:row>
      <xdr:rowOff>40640</xdr:rowOff>
    </xdr:from>
    <xdr:to>
      <xdr:col>13</xdr:col>
      <xdr:colOff>356870</xdr:colOff>
      <xdr:row>15</xdr:row>
      <xdr:rowOff>106680</xdr:rowOff>
    </xdr:to>
    <xdr:cxnSp macro="">
      <xdr:nvCxnSpPr>
        <xdr:cNvPr id="37" name="Straight Connector 36">
          <a:extLst>
            <a:ext uri="{FF2B5EF4-FFF2-40B4-BE49-F238E27FC236}">
              <a16:creationId xmlns:a16="http://schemas.microsoft.com/office/drawing/2014/main" id="{55FEFA41-3845-4CD6-9299-8AFF0E10A8B0}"/>
            </a:ext>
          </a:extLst>
        </xdr:cNvPr>
        <xdr:cNvCxnSpPr/>
      </xdr:nvCxnSpPr>
      <xdr:spPr>
        <a:xfrm flipH="1">
          <a:off x="8267700" y="2600960"/>
          <a:ext cx="13970" cy="2489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10</xdr:col>
      <xdr:colOff>556260</xdr:colOff>
      <xdr:row>12</xdr:row>
      <xdr:rowOff>152400</xdr:rowOff>
    </xdr:from>
    <xdr:to>
      <xdr:col>10</xdr:col>
      <xdr:colOff>560070</xdr:colOff>
      <xdr:row>15</xdr:row>
      <xdr:rowOff>99060</xdr:rowOff>
    </xdr:to>
    <xdr:cxnSp macro="">
      <xdr:nvCxnSpPr>
        <xdr:cNvPr id="38" name="Straight Connector 37">
          <a:extLst>
            <a:ext uri="{FF2B5EF4-FFF2-40B4-BE49-F238E27FC236}">
              <a16:creationId xmlns:a16="http://schemas.microsoft.com/office/drawing/2014/main" id="{ABC2CDD2-DC32-429E-9DFD-D712645CDE5F}"/>
            </a:ext>
          </a:extLst>
        </xdr:cNvPr>
        <xdr:cNvCxnSpPr/>
      </xdr:nvCxnSpPr>
      <xdr:spPr>
        <a:xfrm flipH="1">
          <a:off x="6652260" y="2346960"/>
          <a:ext cx="3810" cy="4953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15240</xdr:colOff>
      <xdr:row>9</xdr:row>
      <xdr:rowOff>12700</xdr:rowOff>
    </xdr:from>
    <xdr:to>
      <xdr:col>11</xdr:col>
      <xdr:colOff>31750</xdr:colOff>
      <xdr:row>10</xdr:row>
      <xdr:rowOff>60960</xdr:rowOff>
    </xdr:to>
    <xdr:cxnSp macro="">
      <xdr:nvCxnSpPr>
        <xdr:cNvPr id="39" name="Straight Connector 38">
          <a:extLst>
            <a:ext uri="{FF2B5EF4-FFF2-40B4-BE49-F238E27FC236}">
              <a16:creationId xmlns:a16="http://schemas.microsoft.com/office/drawing/2014/main" id="{04FF30FC-2522-4E47-BD9D-46054C86FDFB}"/>
            </a:ext>
          </a:extLst>
        </xdr:cNvPr>
        <xdr:cNvCxnSpPr/>
      </xdr:nvCxnSpPr>
      <xdr:spPr>
        <a:xfrm flipH="1">
          <a:off x="6720840" y="1658620"/>
          <a:ext cx="16510" cy="23114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16</xdr:col>
      <xdr:colOff>13970</xdr:colOff>
      <xdr:row>9</xdr:row>
      <xdr:rowOff>17780</xdr:rowOff>
    </xdr:from>
    <xdr:to>
      <xdr:col>16</xdr:col>
      <xdr:colOff>15240</xdr:colOff>
      <xdr:row>10</xdr:row>
      <xdr:rowOff>45720</xdr:rowOff>
    </xdr:to>
    <xdr:cxnSp macro="">
      <xdr:nvCxnSpPr>
        <xdr:cNvPr id="40" name="Straight Connector 39">
          <a:extLst>
            <a:ext uri="{FF2B5EF4-FFF2-40B4-BE49-F238E27FC236}">
              <a16:creationId xmlns:a16="http://schemas.microsoft.com/office/drawing/2014/main" id="{0743CA4B-E880-4D18-9B97-44D95322ED56}"/>
            </a:ext>
          </a:extLst>
        </xdr:cNvPr>
        <xdr:cNvCxnSpPr/>
      </xdr:nvCxnSpPr>
      <xdr:spPr>
        <a:xfrm>
          <a:off x="9767570" y="1663700"/>
          <a:ext cx="1270" cy="2108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445770</xdr:colOff>
      <xdr:row>7</xdr:row>
      <xdr:rowOff>137160</xdr:rowOff>
    </xdr:from>
    <xdr:to>
      <xdr:col>6</xdr:col>
      <xdr:colOff>457200</xdr:colOff>
      <xdr:row>9</xdr:row>
      <xdr:rowOff>7620</xdr:rowOff>
    </xdr:to>
    <xdr:cxnSp macro="">
      <xdr:nvCxnSpPr>
        <xdr:cNvPr id="41" name="Straight Connector 40">
          <a:extLst>
            <a:ext uri="{FF2B5EF4-FFF2-40B4-BE49-F238E27FC236}">
              <a16:creationId xmlns:a16="http://schemas.microsoft.com/office/drawing/2014/main" id="{16571AEA-3BED-4FE6-AEC8-3E2B01F35828}"/>
            </a:ext>
          </a:extLst>
        </xdr:cNvPr>
        <xdr:cNvCxnSpPr/>
      </xdr:nvCxnSpPr>
      <xdr:spPr>
        <a:xfrm>
          <a:off x="4103370" y="1417320"/>
          <a:ext cx="11430" cy="2362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8890</xdr:colOff>
      <xdr:row>9</xdr:row>
      <xdr:rowOff>20320</xdr:rowOff>
    </xdr:from>
    <xdr:to>
      <xdr:col>5</xdr:col>
      <xdr:colOff>22860</xdr:colOff>
      <xdr:row>10</xdr:row>
      <xdr:rowOff>38100</xdr:rowOff>
    </xdr:to>
    <xdr:cxnSp macro="">
      <xdr:nvCxnSpPr>
        <xdr:cNvPr id="42" name="Straight Connector 41">
          <a:extLst>
            <a:ext uri="{FF2B5EF4-FFF2-40B4-BE49-F238E27FC236}">
              <a16:creationId xmlns:a16="http://schemas.microsoft.com/office/drawing/2014/main" id="{2D6470C8-34BB-4551-B342-DD1DA8474810}"/>
            </a:ext>
          </a:extLst>
        </xdr:cNvPr>
        <xdr:cNvCxnSpPr/>
      </xdr:nvCxnSpPr>
      <xdr:spPr>
        <a:xfrm>
          <a:off x="3056890" y="1666240"/>
          <a:ext cx="13970" cy="20066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608330</xdr:colOff>
      <xdr:row>9</xdr:row>
      <xdr:rowOff>25400</xdr:rowOff>
    </xdr:from>
    <xdr:to>
      <xdr:col>8</xdr:col>
      <xdr:colOff>0</xdr:colOff>
      <xdr:row>10</xdr:row>
      <xdr:rowOff>7620</xdr:rowOff>
    </xdr:to>
    <xdr:cxnSp macro="">
      <xdr:nvCxnSpPr>
        <xdr:cNvPr id="43" name="Straight Connector 42">
          <a:extLst>
            <a:ext uri="{FF2B5EF4-FFF2-40B4-BE49-F238E27FC236}">
              <a16:creationId xmlns:a16="http://schemas.microsoft.com/office/drawing/2014/main" id="{11A69DC8-EE03-4EE3-8001-3E0D1DE66DF2}"/>
            </a:ext>
          </a:extLst>
        </xdr:cNvPr>
        <xdr:cNvCxnSpPr/>
      </xdr:nvCxnSpPr>
      <xdr:spPr>
        <a:xfrm>
          <a:off x="4875530" y="1671320"/>
          <a:ext cx="1270" cy="1651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400050</xdr:colOff>
      <xdr:row>7</xdr:row>
      <xdr:rowOff>41910</xdr:rowOff>
    </xdr:from>
    <xdr:to>
      <xdr:col>20</xdr:col>
      <xdr:colOff>217170</xdr:colOff>
      <xdr:row>8</xdr:row>
      <xdr:rowOff>72390</xdr:rowOff>
    </xdr:to>
    <xdr:sp macro="" textlink="">
      <xdr:nvSpPr>
        <xdr:cNvPr id="44" name="Moon 43">
          <a:extLst>
            <a:ext uri="{FF2B5EF4-FFF2-40B4-BE49-F238E27FC236}">
              <a16:creationId xmlns:a16="http://schemas.microsoft.com/office/drawing/2014/main" id="{A494C874-F67B-4685-AB18-5888DA341586}"/>
            </a:ext>
          </a:extLst>
        </xdr:cNvPr>
        <xdr:cNvSpPr/>
      </xdr:nvSpPr>
      <xdr:spPr>
        <a:xfrm rot="5400000">
          <a:off x="12089130" y="121539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10</xdr:col>
      <xdr:colOff>336550</xdr:colOff>
      <xdr:row>12</xdr:row>
      <xdr:rowOff>31750</xdr:rowOff>
    </xdr:from>
    <xdr:to>
      <xdr:col>11</xdr:col>
      <xdr:colOff>153670</xdr:colOff>
      <xdr:row>13</xdr:row>
      <xdr:rowOff>62230</xdr:rowOff>
    </xdr:to>
    <xdr:sp macro="" textlink="">
      <xdr:nvSpPr>
        <xdr:cNvPr id="45" name="Moon 44">
          <a:extLst>
            <a:ext uri="{FF2B5EF4-FFF2-40B4-BE49-F238E27FC236}">
              <a16:creationId xmlns:a16="http://schemas.microsoft.com/office/drawing/2014/main" id="{7D3A92BB-C56D-4978-8635-5FAA3EFA7DA4}"/>
            </a:ext>
          </a:extLst>
        </xdr:cNvPr>
        <xdr:cNvSpPr/>
      </xdr:nvSpPr>
      <xdr:spPr>
        <a:xfrm rot="5400000">
          <a:off x="6539230" y="211963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19</xdr:col>
      <xdr:colOff>219710</xdr:colOff>
      <xdr:row>17</xdr:row>
      <xdr:rowOff>29210</xdr:rowOff>
    </xdr:from>
    <xdr:to>
      <xdr:col>20</xdr:col>
      <xdr:colOff>36830</xdr:colOff>
      <xdr:row>18</xdr:row>
      <xdr:rowOff>59690</xdr:rowOff>
    </xdr:to>
    <xdr:sp macro="" textlink="">
      <xdr:nvSpPr>
        <xdr:cNvPr id="46" name="Moon 45">
          <a:extLst>
            <a:ext uri="{FF2B5EF4-FFF2-40B4-BE49-F238E27FC236}">
              <a16:creationId xmlns:a16="http://schemas.microsoft.com/office/drawing/2014/main" id="{2E04E0EE-88AD-440E-8635-B835813EF8FA}"/>
            </a:ext>
          </a:extLst>
        </xdr:cNvPr>
        <xdr:cNvSpPr/>
      </xdr:nvSpPr>
      <xdr:spPr>
        <a:xfrm rot="5400000">
          <a:off x="11908790" y="303149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19</xdr:col>
      <xdr:colOff>532765</xdr:colOff>
      <xdr:row>14</xdr:row>
      <xdr:rowOff>21590</xdr:rowOff>
    </xdr:from>
    <xdr:to>
      <xdr:col>19</xdr:col>
      <xdr:colOff>534035</xdr:colOff>
      <xdr:row>15</xdr:row>
      <xdr:rowOff>85090</xdr:rowOff>
    </xdr:to>
    <xdr:cxnSp macro="">
      <xdr:nvCxnSpPr>
        <xdr:cNvPr id="47" name="Straight Connector 46">
          <a:extLst>
            <a:ext uri="{FF2B5EF4-FFF2-40B4-BE49-F238E27FC236}">
              <a16:creationId xmlns:a16="http://schemas.microsoft.com/office/drawing/2014/main" id="{769B669F-59DA-43E3-B24A-D43780B830CB}"/>
            </a:ext>
          </a:extLst>
        </xdr:cNvPr>
        <xdr:cNvCxnSpPr/>
      </xdr:nvCxnSpPr>
      <xdr:spPr>
        <a:xfrm flipH="1">
          <a:off x="12115165" y="258191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598170</xdr:colOff>
      <xdr:row>7</xdr:row>
      <xdr:rowOff>143510</xdr:rowOff>
    </xdr:from>
    <xdr:to>
      <xdr:col>19</xdr:col>
      <xdr:colOff>599440</xdr:colOff>
      <xdr:row>9</xdr:row>
      <xdr:rowOff>24130</xdr:rowOff>
    </xdr:to>
    <xdr:cxnSp macro="">
      <xdr:nvCxnSpPr>
        <xdr:cNvPr id="48" name="Straight Connector 47">
          <a:extLst>
            <a:ext uri="{FF2B5EF4-FFF2-40B4-BE49-F238E27FC236}">
              <a16:creationId xmlns:a16="http://schemas.microsoft.com/office/drawing/2014/main" id="{255FED5E-9C87-4D35-B7E5-00B96369483C}"/>
            </a:ext>
          </a:extLst>
        </xdr:cNvPr>
        <xdr:cNvCxnSpPr/>
      </xdr:nvCxnSpPr>
      <xdr:spPr>
        <a:xfrm flipH="1">
          <a:off x="12180570" y="142367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427355</xdr:colOff>
      <xdr:row>17</xdr:row>
      <xdr:rowOff>142875</xdr:rowOff>
    </xdr:from>
    <xdr:to>
      <xdr:col>19</xdr:col>
      <xdr:colOff>428625</xdr:colOff>
      <xdr:row>19</xdr:row>
      <xdr:rowOff>23495</xdr:rowOff>
    </xdr:to>
    <xdr:cxnSp macro="">
      <xdr:nvCxnSpPr>
        <xdr:cNvPr id="49" name="Straight Connector 48">
          <a:extLst>
            <a:ext uri="{FF2B5EF4-FFF2-40B4-BE49-F238E27FC236}">
              <a16:creationId xmlns:a16="http://schemas.microsoft.com/office/drawing/2014/main" id="{3F72A1B9-B757-424B-91C7-2931B63BEC88}"/>
            </a:ext>
          </a:extLst>
        </xdr:cNvPr>
        <xdr:cNvCxnSpPr/>
      </xdr:nvCxnSpPr>
      <xdr:spPr>
        <a:xfrm flipH="1">
          <a:off x="12009755" y="325183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59055</xdr:colOff>
      <xdr:row>19</xdr:row>
      <xdr:rowOff>10160</xdr:rowOff>
    </xdr:from>
    <xdr:to>
      <xdr:col>21</xdr:col>
      <xdr:colOff>60325</xdr:colOff>
      <xdr:row>20</xdr:row>
      <xdr:rowOff>73660</xdr:rowOff>
    </xdr:to>
    <xdr:cxnSp macro="">
      <xdr:nvCxnSpPr>
        <xdr:cNvPr id="50" name="Straight Connector 49">
          <a:extLst>
            <a:ext uri="{FF2B5EF4-FFF2-40B4-BE49-F238E27FC236}">
              <a16:creationId xmlns:a16="http://schemas.microsoft.com/office/drawing/2014/main" id="{EEBB0310-6F2B-4317-BE79-ADFA1416A607}"/>
            </a:ext>
          </a:extLst>
        </xdr:cNvPr>
        <xdr:cNvCxnSpPr/>
      </xdr:nvCxnSpPr>
      <xdr:spPr>
        <a:xfrm flipH="1">
          <a:off x="12860655" y="348488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17</xdr:col>
      <xdr:colOff>119380</xdr:colOff>
      <xdr:row>13</xdr:row>
      <xdr:rowOff>180975</xdr:rowOff>
    </xdr:from>
    <xdr:to>
      <xdr:col>17</xdr:col>
      <xdr:colOff>120650</xdr:colOff>
      <xdr:row>15</xdr:row>
      <xdr:rowOff>61595</xdr:rowOff>
    </xdr:to>
    <xdr:cxnSp macro="">
      <xdr:nvCxnSpPr>
        <xdr:cNvPr id="51" name="Straight Connector 50">
          <a:extLst>
            <a:ext uri="{FF2B5EF4-FFF2-40B4-BE49-F238E27FC236}">
              <a16:creationId xmlns:a16="http://schemas.microsoft.com/office/drawing/2014/main" id="{472DA7F7-D74B-4B5F-ABC9-A7D79B281EE1}"/>
            </a:ext>
          </a:extLst>
        </xdr:cNvPr>
        <xdr:cNvCxnSpPr/>
      </xdr:nvCxnSpPr>
      <xdr:spPr>
        <a:xfrm flipH="1">
          <a:off x="10482580" y="255841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332105</xdr:colOff>
      <xdr:row>13</xdr:row>
      <xdr:rowOff>87630</xdr:rowOff>
    </xdr:from>
    <xdr:to>
      <xdr:col>18</xdr:col>
      <xdr:colOff>341630</xdr:colOff>
      <xdr:row>14</xdr:row>
      <xdr:rowOff>24765</xdr:rowOff>
    </xdr:to>
    <xdr:cxnSp macro="">
      <xdr:nvCxnSpPr>
        <xdr:cNvPr id="52" name="Straight Connector 51">
          <a:extLst>
            <a:ext uri="{FF2B5EF4-FFF2-40B4-BE49-F238E27FC236}">
              <a16:creationId xmlns:a16="http://schemas.microsoft.com/office/drawing/2014/main" id="{9BCF9971-C435-4B2C-A60F-D831C46D9905}"/>
            </a:ext>
          </a:extLst>
        </xdr:cNvPr>
        <xdr:cNvCxnSpPr/>
      </xdr:nvCxnSpPr>
      <xdr:spPr>
        <a:xfrm>
          <a:off x="11304905" y="2465070"/>
          <a:ext cx="9525" cy="120015"/>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314960</xdr:colOff>
      <xdr:row>9</xdr:row>
      <xdr:rowOff>12700</xdr:rowOff>
    </xdr:from>
    <xdr:to>
      <xdr:col>18</xdr:col>
      <xdr:colOff>316230</xdr:colOff>
      <xdr:row>10</xdr:row>
      <xdr:rowOff>76200</xdr:rowOff>
    </xdr:to>
    <xdr:cxnSp macro="">
      <xdr:nvCxnSpPr>
        <xdr:cNvPr id="53" name="Straight Connector 52">
          <a:extLst>
            <a:ext uri="{FF2B5EF4-FFF2-40B4-BE49-F238E27FC236}">
              <a16:creationId xmlns:a16="http://schemas.microsoft.com/office/drawing/2014/main" id="{874BA44F-BA47-4FC7-96C3-4E894E566B61}"/>
            </a:ext>
          </a:extLst>
        </xdr:cNvPr>
        <xdr:cNvCxnSpPr/>
      </xdr:nvCxnSpPr>
      <xdr:spPr>
        <a:xfrm flipH="1">
          <a:off x="11287760" y="165862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283845</xdr:colOff>
      <xdr:row>9</xdr:row>
      <xdr:rowOff>20955</xdr:rowOff>
    </xdr:from>
    <xdr:to>
      <xdr:col>21</xdr:col>
      <xdr:colOff>285115</xdr:colOff>
      <xdr:row>10</xdr:row>
      <xdr:rowOff>84455</xdr:rowOff>
    </xdr:to>
    <xdr:cxnSp macro="">
      <xdr:nvCxnSpPr>
        <xdr:cNvPr id="54" name="Straight Connector 53">
          <a:extLst>
            <a:ext uri="{FF2B5EF4-FFF2-40B4-BE49-F238E27FC236}">
              <a16:creationId xmlns:a16="http://schemas.microsoft.com/office/drawing/2014/main" id="{5BCE0225-CDD4-460F-9413-1F81578A8FD0}"/>
            </a:ext>
          </a:extLst>
        </xdr:cNvPr>
        <xdr:cNvCxnSpPr/>
      </xdr:nvCxnSpPr>
      <xdr:spPr>
        <a:xfrm flipH="1">
          <a:off x="13085445" y="166687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7620</xdr:colOff>
      <xdr:row>1</xdr:row>
      <xdr:rowOff>30480</xdr:rowOff>
    </xdr:from>
    <xdr:to>
      <xdr:col>14</xdr:col>
      <xdr:colOff>610235</xdr:colOff>
      <xdr:row>3</xdr:row>
      <xdr:rowOff>21590</xdr:rowOff>
    </xdr:to>
    <xdr:sp macro="" textlink="">
      <xdr:nvSpPr>
        <xdr:cNvPr id="55" name="Rectangles 54">
          <a:extLst>
            <a:ext uri="{FF2B5EF4-FFF2-40B4-BE49-F238E27FC236}">
              <a16:creationId xmlns:a16="http://schemas.microsoft.com/office/drawing/2014/main" id="{5BAA9C7D-768C-4B43-8752-62199BEDE596}"/>
            </a:ext>
          </a:extLst>
        </xdr:cNvPr>
        <xdr:cNvSpPr/>
      </xdr:nvSpPr>
      <xdr:spPr>
        <a:xfrm>
          <a:off x="7932420" y="21336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Non optimal route suggestion</a:t>
          </a:r>
        </a:p>
      </xdr:txBody>
    </xdr:sp>
    <xdr:clientData/>
  </xdr:twoCellAnchor>
  <xdr:twoCellAnchor>
    <xdr:from>
      <xdr:col>5</xdr:col>
      <xdr:colOff>393700</xdr:colOff>
      <xdr:row>5</xdr:row>
      <xdr:rowOff>12700</xdr:rowOff>
    </xdr:from>
    <xdr:to>
      <xdr:col>7</xdr:col>
      <xdr:colOff>386715</xdr:colOff>
      <xdr:row>7</xdr:row>
      <xdr:rowOff>43180</xdr:rowOff>
    </xdr:to>
    <xdr:sp macro="" textlink="">
      <xdr:nvSpPr>
        <xdr:cNvPr id="56" name="Rectangles 55">
          <a:extLst>
            <a:ext uri="{FF2B5EF4-FFF2-40B4-BE49-F238E27FC236}">
              <a16:creationId xmlns:a16="http://schemas.microsoft.com/office/drawing/2014/main" id="{5076D370-7EFE-42C2-9783-4254E3103229}"/>
            </a:ext>
          </a:extLst>
        </xdr:cNvPr>
        <xdr:cNvSpPr/>
      </xdr:nvSpPr>
      <xdr:spPr>
        <a:xfrm>
          <a:off x="3441700" y="927100"/>
          <a:ext cx="1212215" cy="39624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GB" sz="800"/>
            <a:t>Optimization algorithm failure</a:t>
          </a:r>
        </a:p>
      </xdr:txBody>
    </xdr:sp>
    <xdr:clientData/>
  </xdr:twoCellAnchor>
  <xdr:twoCellAnchor>
    <xdr:from>
      <xdr:col>7</xdr:col>
      <xdr:colOff>314960</xdr:colOff>
      <xdr:row>15</xdr:row>
      <xdr:rowOff>10160</xdr:rowOff>
    </xdr:from>
    <xdr:to>
      <xdr:col>9</xdr:col>
      <xdr:colOff>307975</xdr:colOff>
      <xdr:row>17</xdr:row>
      <xdr:rowOff>1270</xdr:rowOff>
    </xdr:to>
    <xdr:sp macro="" textlink="">
      <xdr:nvSpPr>
        <xdr:cNvPr id="57" name="Rectangles 56">
          <a:extLst>
            <a:ext uri="{FF2B5EF4-FFF2-40B4-BE49-F238E27FC236}">
              <a16:creationId xmlns:a16="http://schemas.microsoft.com/office/drawing/2014/main" id="{DC060B76-B154-4B4F-8FC9-F7161F8345DB}"/>
            </a:ext>
          </a:extLst>
        </xdr:cNvPr>
        <xdr:cNvSpPr/>
      </xdr:nvSpPr>
      <xdr:spPr>
        <a:xfrm>
          <a:off x="4582160" y="275336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Weak GPS signal by satellite</a:t>
          </a:r>
        </a:p>
      </xdr:txBody>
    </xdr:sp>
    <xdr:clientData/>
  </xdr:twoCellAnchor>
  <xdr:twoCellAnchor>
    <xdr:from>
      <xdr:col>10</xdr:col>
      <xdr:colOff>7620</xdr:colOff>
      <xdr:row>15</xdr:row>
      <xdr:rowOff>15240</xdr:rowOff>
    </xdr:from>
    <xdr:to>
      <xdr:col>12</xdr:col>
      <xdr:colOff>0</xdr:colOff>
      <xdr:row>16</xdr:row>
      <xdr:rowOff>181610</xdr:rowOff>
    </xdr:to>
    <xdr:sp macro="" textlink="">
      <xdr:nvSpPr>
        <xdr:cNvPr id="58" name="Rectangles 57">
          <a:extLst>
            <a:ext uri="{FF2B5EF4-FFF2-40B4-BE49-F238E27FC236}">
              <a16:creationId xmlns:a16="http://schemas.microsoft.com/office/drawing/2014/main" id="{57651684-383F-4788-8320-FF4025C45A00}"/>
            </a:ext>
          </a:extLst>
        </xdr:cNvPr>
        <xdr:cNvSpPr/>
      </xdr:nvSpPr>
      <xdr:spPr>
        <a:xfrm>
          <a:off x="6103620" y="2758440"/>
          <a:ext cx="1211580" cy="3492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Poor GPS update rate</a:t>
          </a:r>
        </a:p>
      </xdr:txBody>
    </xdr:sp>
    <xdr:clientData/>
  </xdr:twoCellAnchor>
  <xdr:twoCellAnchor>
    <xdr:from>
      <xdr:col>12</xdr:col>
      <xdr:colOff>386080</xdr:colOff>
      <xdr:row>15</xdr:row>
      <xdr:rowOff>20320</xdr:rowOff>
    </xdr:from>
    <xdr:to>
      <xdr:col>14</xdr:col>
      <xdr:colOff>379095</xdr:colOff>
      <xdr:row>17</xdr:row>
      <xdr:rowOff>3810</xdr:rowOff>
    </xdr:to>
    <xdr:sp macro="" textlink="">
      <xdr:nvSpPr>
        <xdr:cNvPr id="59" name="Rectangles 58">
          <a:extLst>
            <a:ext uri="{FF2B5EF4-FFF2-40B4-BE49-F238E27FC236}">
              <a16:creationId xmlns:a16="http://schemas.microsoft.com/office/drawing/2014/main" id="{FE1B1FF3-D53B-4248-9105-367CEB6142CB}"/>
            </a:ext>
          </a:extLst>
        </xdr:cNvPr>
        <xdr:cNvSpPr/>
      </xdr:nvSpPr>
      <xdr:spPr>
        <a:xfrm>
          <a:off x="7701280" y="2763520"/>
          <a:ext cx="1212215" cy="3492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Software error in reading GPS data</a:t>
          </a:r>
        </a:p>
      </xdr:txBody>
    </xdr:sp>
    <xdr:clientData/>
  </xdr:twoCellAnchor>
  <xdr:twoCellAnchor>
    <xdr:from>
      <xdr:col>4</xdr:col>
      <xdr:colOff>17780</xdr:colOff>
      <xdr:row>9</xdr:row>
      <xdr:rowOff>170180</xdr:rowOff>
    </xdr:from>
    <xdr:to>
      <xdr:col>6</xdr:col>
      <xdr:colOff>10795</xdr:colOff>
      <xdr:row>12</xdr:row>
      <xdr:rowOff>17145</xdr:rowOff>
    </xdr:to>
    <xdr:sp macro="" textlink="">
      <xdr:nvSpPr>
        <xdr:cNvPr id="60" name="Rectangles 59">
          <a:extLst>
            <a:ext uri="{FF2B5EF4-FFF2-40B4-BE49-F238E27FC236}">
              <a16:creationId xmlns:a16="http://schemas.microsoft.com/office/drawing/2014/main" id="{6297B2D5-DFD8-4164-9545-37BB9A02B441}"/>
            </a:ext>
          </a:extLst>
        </xdr:cNvPr>
        <xdr:cNvSpPr/>
      </xdr:nvSpPr>
      <xdr:spPr>
        <a:xfrm>
          <a:off x="2456180" y="1816100"/>
          <a:ext cx="1212215" cy="39560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Wrong optimization parameter by user</a:t>
          </a:r>
        </a:p>
      </xdr:txBody>
    </xdr:sp>
    <xdr:clientData/>
  </xdr:twoCellAnchor>
  <xdr:twoCellAnchor>
    <xdr:from>
      <xdr:col>6</xdr:col>
      <xdr:colOff>594360</xdr:colOff>
      <xdr:row>10</xdr:row>
      <xdr:rowOff>7620</xdr:rowOff>
    </xdr:from>
    <xdr:to>
      <xdr:col>8</xdr:col>
      <xdr:colOff>587375</xdr:colOff>
      <xdr:row>12</xdr:row>
      <xdr:rowOff>45085</xdr:rowOff>
    </xdr:to>
    <xdr:sp macro="" textlink="">
      <xdr:nvSpPr>
        <xdr:cNvPr id="61" name="Rectangles 60">
          <a:extLst>
            <a:ext uri="{FF2B5EF4-FFF2-40B4-BE49-F238E27FC236}">
              <a16:creationId xmlns:a16="http://schemas.microsoft.com/office/drawing/2014/main" id="{F3450E20-73A9-4E72-BA67-227D08EAC712}"/>
            </a:ext>
          </a:extLst>
        </xdr:cNvPr>
        <xdr:cNvSpPr/>
      </xdr:nvSpPr>
      <xdr:spPr>
        <a:xfrm>
          <a:off x="4251960" y="1836420"/>
          <a:ext cx="1212215" cy="40322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Multiobjective solver optimization numerical instability</a:t>
          </a:r>
        </a:p>
      </xdr:txBody>
    </xdr:sp>
    <xdr:clientData/>
  </xdr:twoCellAnchor>
  <xdr:twoCellAnchor>
    <xdr:from>
      <xdr:col>9</xdr:col>
      <xdr:colOff>568960</xdr:colOff>
      <xdr:row>9</xdr:row>
      <xdr:rowOff>180340</xdr:rowOff>
    </xdr:from>
    <xdr:to>
      <xdr:col>11</xdr:col>
      <xdr:colOff>561975</xdr:colOff>
      <xdr:row>12</xdr:row>
      <xdr:rowOff>27940</xdr:rowOff>
    </xdr:to>
    <xdr:sp macro="" textlink="">
      <xdr:nvSpPr>
        <xdr:cNvPr id="62" name="Rectangles 61">
          <a:extLst>
            <a:ext uri="{FF2B5EF4-FFF2-40B4-BE49-F238E27FC236}">
              <a16:creationId xmlns:a16="http://schemas.microsoft.com/office/drawing/2014/main" id="{689F0D34-934F-484F-9DB7-58067F11816A}"/>
            </a:ext>
          </a:extLst>
        </xdr:cNvPr>
        <xdr:cNvSpPr/>
      </xdr:nvSpPr>
      <xdr:spPr>
        <a:xfrm>
          <a:off x="6055360" y="1826260"/>
          <a:ext cx="1212215" cy="39624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GPS signal</a:t>
          </a:r>
        </a:p>
      </xdr:txBody>
    </xdr:sp>
    <xdr:clientData/>
  </xdr:twoCellAnchor>
  <xdr:twoCellAnchor>
    <xdr:from>
      <xdr:col>12</xdr:col>
      <xdr:colOff>505460</xdr:colOff>
      <xdr:row>9</xdr:row>
      <xdr:rowOff>162560</xdr:rowOff>
    </xdr:from>
    <xdr:to>
      <xdr:col>14</xdr:col>
      <xdr:colOff>498475</xdr:colOff>
      <xdr:row>12</xdr:row>
      <xdr:rowOff>8890</xdr:rowOff>
    </xdr:to>
    <xdr:sp macro="" textlink="">
      <xdr:nvSpPr>
        <xdr:cNvPr id="63" name="Rectangles 62">
          <a:extLst>
            <a:ext uri="{FF2B5EF4-FFF2-40B4-BE49-F238E27FC236}">
              <a16:creationId xmlns:a16="http://schemas.microsoft.com/office/drawing/2014/main" id="{FE2055AD-129D-40FE-B6ED-5FF4F9FBD906}"/>
            </a:ext>
          </a:extLst>
        </xdr:cNvPr>
        <xdr:cNvSpPr/>
      </xdr:nvSpPr>
      <xdr:spPr>
        <a:xfrm>
          <a:off x="7820660" y="1808480"/>
          <a:ext cx="1212215" cy="3949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Unexpected detour not accounted</a:t>
          </a:r>
        </a:p>
      </xdr:txBody>
    </xdr:sp>
    <xdr:clientData/>
  </xdr:twoCellAnchor>
  <xdr:twoCellAnchor>
    <xdr:from>
      <xdr:col>15</xdr:col>
      <xdr:colOff>198120</xdr:colOff>
      <xdr:row>9</xdr:row>
      <xdr:rowOff>152400</xdr:rowOff>
    </xdr:from>
    <xdr:to>
      <xdr:col>17</xdr:col>
      <xdr:colOff>190500</xdr:colOff>
      <xdr:row>12</xdr:row>
      <xdr:rowOff>21590</xdr:rowOff>
    </xdr:to>
    <xdr:sp macro="" textlink="">
      <xdr:nvSpPr>
        <xdr:cNvPr id="64" name="Rectangles 63">
          <a:extLst>
            <a:ext uri="{FF2B5EF4-FFF2-40B4-BE49-F238E27FC236}">
              <a16:creationId xmlns:a16="http://schemas.microsoft.com/office/drawing/2014/main" id="{AC7DF1D2-D28B-4923-8CE9-1E80D13EBBBE}"/>
            </a:ext>
          </a:extLst>
        </xdr:cNvPr>
        <xdr:cNvSpPr/>
      </xdr:nvSpPr>
      <xdr:spPr>
        <a:xfrm>
          <a:off x="9342120" y="1798320"/>
          <a:ext cx="1211580" cy="41783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Traffic condition not updated</a:t>
          </a:r>
        </a:p>
      </xdr:txBody>
    </xdr:sp>
    <xdr:clientData/>
  </xdr:twoCellAnchor>
  <xdr:twoCellAnchor>
    <xdr:from>
      <xdr:col>12</xdr:col>
      <xdr:colOff>599440</xdr:colOff>
      <xdr:row>5</xdr:row>
      <xdr:rowOff>12700</xdr:rowOff>
    </xdr:from>
    <xdr:to>
      <xdr:col>14</xdr:col>
      <xdr:colOff>592455</xdr:colOff>
      <xdr:row>7</xdr:row>
      <xdr:rowOff>41275</xdr:rowOff>
    </xdr:to>
    <xdr:sp macro="" textlink="">
      <xdr:nvSpPr>
        <xdr:cNvPr id="65" name="Rectangles 64">
          <a:extLst>
            <a:ext uri="{FF2B5EF4-FFF2-40B4-BE49-F238E27FC236}">
              <a16:creationId xmlns:a16="http://schemas.microsoft.com/office/drawing/2014/main" id="{25026ED2-CE70-4930-8763-405D0CEA4BE1}"/>
            </a:ext>
          </a:extLst>
        </xdr:cNvPr>
        <xdr:cNvSpPr/>
      </xdr:nvSpPr>
      <xdr:spPr>
        <a:xfrm>
          <a:off x="7914640" y="927100"/>
          <a:ext cx="1212215" cy="39433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time required prediction</a:t>
          </a:r>
        </a:p>
      </xdr:txBody>
    </xdr:sp>
    <xdr:clientData/>
  </xdr:twoCellAnchor>
  <xdr:twoCellAnchor>
    <xdr:from>
      <xdr:col>18</xdr:col>
      <xdr:colOff>566420</xdr:colOff>
      <xdr:row>5</xdr:row>
      <xdr:rowOff>2540</xdr:rowOff>
    </xdr:from>
    <xdr:to>
      <xdr:col>20</xdr:col>
      <xdr:colOff>559435</xdr:colOff>
      <xdr:row>7</xdr:row>
      <xdr:rowOff>32385</xdr:rowOff>
    </xdr:to>
    <xdr:sp macro="" textlink="">
      <xdr:nvSpPr>
        <xdr:cNvPr id="66" name="Rectangles 65">
          <a:extLst>
            <a:ext uri="{FF2B5EF4-FFF2-40B4-BE49-F238E27FC236}">
              <a16:creationId xmlns:a16="http://schemas.microsoft.com/office/drawing/2014/main" id="{567B6936-4177-469E-B62D-842A6A81056D}"/>
            </a:ext>
          </a:extLst>
        </xdr:cNvPr>
        <xdr:cNvSpPr/>
      </xdr:nvSpPr>
      <xdr:spPr>
        <a:xfrm>
          <a:off x="11539220" y="916940"/>
          <a:ext cx="1212215" cy="39560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sun exposure prediction</a:t>
          </a:r>
        </a:p>
      </xdr:txBody>
    </xdr:sp>
    <xdr:clientData/>
  </xdr:twoCellAnchor>
  <xdr:twoCellAnchor>
    <xdr:from>
      <xdr:col>20</xdr:col>
      <xdr:colOff>205740</xdr:colOff>
      <xdr:row>9</xdr:row>
      <xdr:rowOff>167640</xdr:rowOff>
    </xdr:from>
    <xdr:to>
      <xdr:col>22</xdr:col>
      <xdr:colOff>198755</xdr:colOff>
      <xdr:row>12</xdr:row>
      <xdr:rowOff>44450</xdr:rowOff>
    </xdr:to>
    <xdr:sp macro="" textlink="">
      <xdr:nvSpPr>
        <xdr:cNvPr id="67" name="Rectangles 66">
          <a:extLst>
            <a:ext uri="{FF2B5EF4-FFF2-40B4-BE49-F238E27FC236}">
              <a16:creationId xmlns:a16="http://schemas.microsoft.com/office/drawing/2014/main" id="{3ECF5C21-8ED1-4DE6-A16C-36FC9E90C93F}"/>
            </a:ext>
          </a:extLst>
        </xdr:cNvPr>
        <xdr:cNvSpPr/>
      </xdr:nvSpPr>
      <xdr:spPr>
        <a:xfrm>
          <a:off x="12397740" y="1813560"/>
          <a:ext cx="1212215" cy="4254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Incosistent orientation between sun position and infrastructure data</a:t>
          </a:r>
        </a:p>
      </xdr:txBody>
    </xdr:sp>
    <xdr:clientData/>
  </xdr:twoCellAnchor>
  <xdr:twoCellAnchor>
    <xdr:from>
      <xdr:col>17</xdr:col>
      <xdr:colOff>386080</xdr:colOff>
      <xdr:row>9</xdr:row>
      <xdr:rowOff>180340</xdr:rowOff>
    </xdr:from>
    <xdr:to>
      <xdr:col>19</xdr:col>
      <xdr:colOff>379095</xdr:colOff>
      <xdr:row>12</xdr:row>
      <xdr:rowOff>57785</xdr:rowOff>
    </xdr:to>
    <xdr:sp macro="" textlink="">
      <xdr:nvSpPr>
        <xdr:cNvPr id="68" name="Rectangles 67">
          <a:extLst>
            <a:ext uri="{FF2B5EF4-FFF2-40B4-BE49-F238E27FC236}">
              <a16:creationId xmlns:a16="http://schemas.microsoft.com/office/drawing/2014/main" id="{D9DA4755-C8BD-4AA5-92EE-DE9B20F3782B}"/>
            </a:ext>
          </a:extLst>
        </xdr:cNvPr>
        <xdr:cNvSpPr/>
      </xdr:nvSpPr>
      <xdr:spPr>
        <a:xfrm>
          <a:off x="10749280" y="1826260"/>
          <a:ext cx="1212215" cy="42608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Outdated weather data</a:t>
          </a:r>
        </a:p>
      </xdr:txBody>
    </xdr:sp>
    <xdr:clientData/>
  </xdr:twoCellAnchor>
  <xdr:twoCellAnchor>
    <xdr:from>
      <xdr:col>18</xdr:col>
      <xdr:colOff>482600</xdr:colOff>
      <xdr:row>15</xdr:row>
      <xdr:rowOff>10160</xdr:rowOff>
    </xdr:from>
    <xdr:to>
      <xdr:col>20</xdr:col>
      <xdr:colOff>475615</xdr:colOff>
      <xdr:row>17</xdr:row>
      <xdr:rowOff>17145</xdr:rowOff>
    </xdr:to>
    <xdr:sp macro="" textlink="">
      <xdr:nvSpPr>
        <xdr:cNvPr id="69" name="Rectangles 68">
          <a:extLst>
            <a:ext uri="{FF2B5EF4-FFF2-40B4-BE49-F238E27FC236}">
              <a16:creationId xmlns:a16="http://schemas.microsoft.com/office/drawing/2014/main" id="{E5FD1C2B-A17F-4A58-9508-D3C55D90D75F}"/>
            </a:ext>
          </a:extLst>
        </xdr:cNvPr>
        <xdr:cNvSpPr/>
      </xdr:nvSpPr>
      <xdr:spPr>
        <a:xfrm>
          <a:off x="11455400" y="2753360"/>
          <a:ext cx="1212215" cy="37274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Online data corruption</a:t>
          </a:r>
        </a:p>
      </xdr:txBody>
    </xdr:sp>
    <xdr:clientData/>
  </xdr:twoCellAnchor>
  <xdr:twoCellAnchor>
    <xdr:from>
      <xdr:col>16</xdr:col>
      <xdr:colOff>175260</xdr:colOff>
      <xdr:row>15</xdr:row>
      <xdr:rowOff>15240</xdr:rowOff>
    </xdr:from>
    <xdr:to>
      <xdr:col>18</xdr:col>
      <xdr:colOff>168275</xdr:colOff>
      <xdr:row>17</xdr:row>
      <xdr:rowOff>6350</xdr:rowOff>
    </xdr:to>
    <xdr:sp macro="" textlink="">
      <xdr:nvSpPr>
        <xdr:cNvPr id="70" name="Rectangles 69">
          <a:extLst>
            <a:ext uri="{FF2B5EF4-FFF2-40B4-BE49-F238E27FC236}">
              <a16:creationId xmlns:a16="http://schemas.microsoft.com/office/drawing/2014/main" id="{0BCF7B1B-962A-48FF-AF67-71367A36A373}"/>
            </a:ext>
          </a:extLst>
        </xdr:cNvPr>
        <xdr:cNvSpPr/>
      </xdr:nvSpPr>
      <xdr:spPr>
        <a:xfrm>
          <a:off x="9928860" y="275844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Offline data not updated</a:t>
          </a:r>
        </a:p>
      </xdr:txBody>
    </xdr:sp>
    <xdr:clientData/>
  </xdr:twoCellAnchor>
  <xdr:twoCellAnchor>
    <xdr:from>
      <xdr:col>20</xdr:col>
      <xdr:colOff>22860</xdr:colOff>
      <xdr:row>20</xdr:row>
      <xdr:rowOff>0</xdr:rowOff>
    </xdr:from>
    <xdr:to>
      <xdr:col>22</xdr:col>
      <xdr:colOff>15875</xdr:colOff>
      <xdr:row>21</xdr:row>
      <xdr:rowOff>181610</xdr:rowOff>
    </xdr:to>
    <xdr:sp macro="" textlink="">
      <xdr:nvSpPr>
        <xdr:cNvPr id="71" name="Rectangles 70">
          <a:extLst>
            <a:ext uri="{FF2B5EF4-FFF2-40B4-BE49-F238E27FC236}">
              <a16:creationId xmlns:a16="http://schemas.microsoft.com/office/drawing/2014/main" id="{C79712DE-5FA1-4BCA-A3DC-ADB83FEF3BB4}"/>
            </a:ext>
          </a:extLst>
        </xdr:cNvPr>
        <xdr:cNvSpPr/>
      </xdr:nvSpPr>
      <xdr:spPr>
        <a:xfrm>
          <a:off x="12214860" y="3657600"/>
          <a:ext cx="1212215" cy="36449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Incompatibility between online data format and system parser</a:t>
          </a:r>
        </a:p>
      </xdr:txBody>
    </xdr:sp>
    <xdr:clientData/>
  </xdr:twoCellAnchor>
  <xdr:twoCellAnchor>
    <xdr:from>
      <xdr:col>17</xdr:col>
      <xdr:colOff>203200</xdr:colOff>
      <xdr:row>19</xdr:row>
      <xdr:rowOff>180340</xdr:rowOff>
    </xdr:from>
    <xdr:to>
      <xdr:col>19</xdr:col>
      <xdr:colOff>196215</xdr:colOff>
      <xdr:row>22</xdr:row>
      <xdr:rowOff>4445</xdr:rowOff>
    </xdr:to>
    <xdr:sp macro="" textlink="">
      <xdr:nvSpPr>
        <xdr:cNvPr id="72" name="Rectangles 71">
          <a:extLst>
            <a:ext uri="{FF2B5EF4-FFF2-40B4-BE49-F238E27FC236}">
              <a16:creationId xmlns:a16="http://schemas.microsoft.com/office/drawing/2014/main" id="{D693DBDC-0A6D-48D3-90E7-A2B2250804CF}"/>
            </a:ext>
          </a:extLst>
        </xdr:cNvPr>
        <xdr:cNvSpPr/>
      </xdr:nvSpPr>
      <xdr:spPr>
        <a:xfrm>
          <a:off x="10566400" y="3655060"/>
          <a:ext cx="1212215" cy="37274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Server data corruption</a:t>
          </a:r>
        </a:p>
      </xdr:txBody>
    </xdr:sp>
    <xdr:clientData/>
  </xdr:twoCellAnchor>
  <xdr:twoCellAnchor>
    <xdr:from>
      <xdr:col>18</xdr:col>
      <xdr:colOff>169862</xdr:colOff>
      <xdr:row>12</xdr:row>
      <xdr:rowOff>77152</xdr:rowOff>
    </xdr:from>
    <xdr:to>
      <xdr:col>18</xdr:col>
      <xdr:colOff>503872</xdr:colOff>
      <xdr:row>13</xdr:row>
      <xdr:rowOff>93027</xdr:rowOff>
    </xdr:to>
    <xdr:sp macro="" textlink="">
      <xdr:nvSpPr>
        <xdr:cNvPr id="73" name="Flowchart: Delay 72">
          <a:extLst>
            <a:ext uri="{FF2B5EF4-FFF2-40B4-BE49-F238E27FC236}">
              <a16:creationId xmlns:a16="http://schemas.microsoft.com/office/drawing/2014/main" id="{1CD83B09-6EFE-49EF-8035-A1EAD886FE4E}"/>
            </a:ext>
          </a:extLst>
        </xdr:cNvPr>
        <xdr:cNvSpPr/>
      </xdr:nvSpPr>
      <xdr:spPr>
        <a:xfrm rot="16200000">
          <a:off x="11210289" y="2204085"/>
          <a:ext cx="198755" cy="334010"/>
        </a:xfrm>
        <a:prstGeom prst="flowChartDelay">
          <a:avLst/>
        </a:prstGeom>
        <a:solidFill>
          <a:srgbClr val="FF0000"/>
        </a:solidFill>
        <a:ln w="19050">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scene3d>
            <a:camera prst="orthographicFront">
              <a:rot lat="0" lon="0" rev="16200000"/>
            </a:camera>
            <a:lightRig rig="threePt" dir="t"/>
          </a:scene3d>
        </a:bodyP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en-GB" sz="700" b="1">
            <a:solidFill>
              <a:schemeClr val="tx1"/>
            </a:solidFill>
          </a:endParaRPr>
        </a:p>
      </xdr:txBody>
    </xdr:sp>
    <xdr:clientData/>
  </xdr:twoCellAnchor>
  <xdr:twoCellAnchor>
    <xdr:from>
      <xdr:col>13</xdr:col>
      <xdr:colOff>387350</xdr:colOff>
      <xdr:row>7</xdr:row>
      <xdr:rowOff>36830</xdr:rowOff>
    </xdr:from>
    <xdr:to>
      <xdr:col>14</xdr:col>
      <xdr:colOff>204470</xdr:colOff>
      <xdr:row>8</xdr:row>
      <xdr:rowOff>67310</xdr:rowOff>
    </xdr:to>
    <xdr:sp macro="" textlink="">
      <xdr:nvSpPr>
        <xdr:cNvPr id="74" name="Moon 73">
          <a:extLst>
            <a:ext uri="{FF2B5EF4-FFF2-40B4-BE49-F238E27FC236}">
              <a16:creationId xmlns:a16="http://schemas.microsoft.com/office/drawing/2014/main" id="{383F8400-ECE4-489D-886B-24D6E94B6F00}"/>
            </a:ext>
          </a:extLst>
        </xdr:cNvPr>
        <xdr:cNvSpPr/>
      </xdr:nvSpPr>
      <xdr:spPr>
        <a:xfrm rot="5400000">
          <a:off x="8418830" y="121031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6</xdr:col>
      <xdr:colOff>217170</xdr:colOff>
      <xdr:row>7</xdr:row>
      <xdr:rowOff>49530</xdr:rowOff>
    </xdr:from>
    <xdr:to>
      <xdr:col>7</xdr:col>
      <xdr:colOff>72390</xdr:colOff>
      <xdr:row>8</xdr:row>
      <xdr:rowOff>49530</xdr:rowOff>
    </xdr:to>
    <xdr:sp macro="" textlink="">
      <xdr:nvSpPr>
        <xdr:cNvPr id="75" name="Moon 74">
          <a:extLst>
            <a:ext uri="{FF2B5EF4-FFF2-40B4-BE49-F238E27FC236}">
              <a16:creationId xmlns:a16="http://schemas.microsoft.com/office/drawing/2014/main" id="{8541E15C-5CA7-4D44-8B54-AF50982B52B8}"/>
            </a:ext>
          </a:extLst>
        </xdr:cNvPr>
        <xdr:cNvSpPr/>
      </xdr:nvSpPr>
      <xdr:spPr>
        <a:xfrm rot="5400000">
          <a:off x="4015740" y="1188720"/>
          <a:ext cx="182880" cy="4648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397510</xdr:colOff>
      <xdr:row>3</xdr:row>
      <xdr:rowOff>24130</xdr:rowOff>
    </xdr:from>
    <xdr:to>
      <xdr:col>14</xdr:col>
      <xdr:colOff>245110</xdr:colOff>
      <xdr:row>4</xdr:row>
      <xdr:rowOff>62230</xdr:rowOff>
    </xdr:to>
    <xdr:sp macro="" textlink="">
      <xdr:nvSpPr>
        <xdr:cNvPr id="76" name="Moon 75">
          <a:extLst>
            <a:ext uri="{FF2B5EF4-FFF2-40B4-BE49-F238E27FC236}">
              <a16:creationId xmlns:a16="http://schemas.microsoft.com/office/drawing/2014/main" id="{761BAF1B-4B39-4EEB-B3C0-23ED26DB2563}"/>
            </a:ext>
          </a:extLst>
        </xdr:cNvPr>
        <xdr:cNvSpPr/>
      </xdr:nvSpPr>
      <xdr:spPr>
        <a:xfrm rot="5400000">
          <a:off x="8440420" y="454660"/>
          <a:ext cx="220980" cy="45720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14</xdr:col>
      <xdr:colOff>16510</xdr:colOff>
      <xdr:row>3</xdr:row>
      <xdr:rowOff>134620</xdr:rowOff>
    </xdr:from>
    <xdr:to>
      <xdr:col>14</xdr:col>
      <xdr:colOff>30480</xdr:colOff>
      <xdr:row>5</xdr:row>
      <xdr:rowOff>60960</xdr:rowOff>
    </xdr:to>
    <xdr:cxnSp macro="">
      <xdr:nvCxnSpPr>
        <xdr:cNvPr id="77" name="Straight Connector 76">
          <a:extLst>
            <a:ext uri="{FF2B5EF4-FFF2-40B4-BE49-F238E27FC236}">
              <a16:creationId xmlns:a16="http://schemas.microsoft.com/office/drawing/2014/main" id="{49387F67-55DD-41EE-A3A5-5B426AEB0C75}"/>
            </a:ext>
          </a:extLst>
        </xdr:cNvPr>
        <xdr:cNvCxnSpPr>
          <a:stCxn id="76" idx="3"/>
        </xdr:cNvCxnSpPr>
      </xdr:nvCxnSpPr>
      <xdr:spPr>
        <a:xfrm>
          <a:off x="8550910" y="683260"/>
          <a:ext cx="13970" cy="2921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xdr:col>
      <xdr:colOff>594360</xdr:colOff>
      <xdr:row>9</xdr:row>
      <xdr:rowOff>7620</xdr:rowOff>
    </xdr:from>
    <xdr:to>
      <xdr:col>8</xdr:col>
      <xdr:colOff>0</xdr:colOff>
      <xdr:row>9</xdr:row>
      <xdr:rowOff>22860</xdr:rowOff>
    </xdr:to>
    <xdr:cxnSp macro="">
      <xdr:nvCxnSpPr>
        <xdr:cNvPr id="78" name="Straight Connector 77">
          <a:extLst>
            <a:ext uri="{FF2B5EF4-FFF2-40B4-BE49-F238E27FC236}">
              <a16:creationId xmlns:a16="http://schemas.microsoft.com/office/drawing/2014/main" id="{E738008B-BC17-45C4-898F-006C4E434367}"/>
            </a:ext>
          </a:extLst>
        </xdr:cNvPr>
        <xdr:cNvCxnSpPr/>
      </xdr:nvCxnSpPr>
      <xdr:spPr>
        <a:xfrm>
          <a:off x="3032760" y="1653540"/>
          <a:ext cx="184404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xdr:col>
      <xdr:colOff>241300</xdr:colOff>
      <xdr:row>14</xdr:row>
      <xdr:rowOff>5080</xdr:rowOff>
    </xdr:from>
    <xdr:to>
      <xdr:col>13</xdr:col>
      <xdr:colOff>363220</xdr:colOff>
      <xdr:row>14</xdr:row>
      <xdr:rowOff>27940</xdr:rowOff>
    </xdr:to>
    <xdr:cxnSp macro="">
      <xdr:nvCxnSpPr>
        <xdr:cNvPr id="79" name="Straight Connector 78">
          <a:extLst>
            <a:ext uri="{FF2B5EF4-FFF2-40B4-BE49-F238E27FC236}">
              <a16:creationId xmlns:a16="http://schemas.microsoft.com/office/drawing/2014/main" id="{2E800839-B210-4A81-B5F7-2C88D4FD36CB}"/>
            </a:ext>
          </a:extLst>
        </xdr:cNvPr>
        <xdr:cNvCxnSpPr/>
      </xdr:nvCxnSpPr>
      <xdr:spPr>
        <a:xfrm>
          <a:off x="5118100" y="2565400"/>
          <a:ext cx="3169920" cy="2286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17</xdr:col>
      <xdr:colOff>106680</xdr:colOff>
      <xdr:row>14</xdr:row>
      <xdr:rowOff>0</xdr:rowOff>
    </xdr:from>
    <xdr:to>
      <xdr:col>19</xdr:col>
      <xdr:colOff>533400</xdr:colOff>
      <xdr:row>14</xdr:row>
      <xdr:rowOff>15240</xdr:rowOff>
    </xdr:to>
    <xdr:cxnSp macro="">
      <xdr:nvCxnSpPr>
        <xdr:cNvPr id="80" name="Straight Connector 79">
          <a:extLst>
            <a:ext uri="{FF2B5EF4-FFF2-40B4-BE49-F238E27FC236}">
              <a16:creationId xmlns:a16="http://schemas.microsoft.com/office/drawing/2014/main" id="{572E021E-057C-4C7D-8BC3-F3341955FAFD}"/>
            </a:ext>
          </a:extLst>
        </xdr:cNvPr>
        <xdr:cNvCxnSpPr/>
      </xdr:nvCxnSpPr>
      <xdr:spPr>
        <a:xfrm>
          <a:off x="10469880" y="2560320"/>
          <a:ext cx="164592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177800</xdr:colOff>
      <xdr:row>19</xdr:row>
      <xdr:rowOff>3175</xdr:rowOff>
    </xdr:from>
    <xdr:to>
      <xdr:col>21</xdr:col>
      <xdr:colOff>53975</xdr:colOff>
      <xdr:row>19</xdr:row>
      <xdr:rowOff>19050</xdr:rowOff>
    </xdr:to>
    <xdr:cxnSp macro="">
      <xdr:nvCxnSpPr>
        <xdr:cNvPr id="81" name="Straight Connector 80">
          <a:extLst>
            <a:ext uri="{FF2B5EF4-FFF2-40B4-BE49-F238E27FC236}">
              <a16:creationId xmlns:a16="http://schemas.microsoft.com/office/drawing/2014/main" id="{86423DAC-7C4D-4040-BEF4-EA56855FBFCA}"/>
            </a:ext>
          </a:extLst>
        </xdr:cNvPr>
        <xdr:cNvCxnSpPr/>
      </xdr:nvCxnSpPr>
      <xdr:spPr>
        <a:xfrm>
          <a:off x="11150600" y="3477895"/>
          <a:ext cx="1704975" cy="15875"/>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311150</xdr:colOff>
      <xdr:row>9</xdr:row>
      <xdr:rowOff>13335</xdr:rowOff>
    </xdr:from>
    <xdr:to>
      <xdr:col>21</xdr:col>
      <xdr:colOff>288290</xdr:colOff>
      <xdr:row>9</xdr:row>
      <xdr:rowOff>18415</xdr:rowOff>
    </xdr:to>
    <xdr:cxnSp macro="">
      <xdr:nvCxnSpPr>
        <xdr:cNvPr id="82" name="Straight Connector 81">
          <a:extLst>
            <a:ext uri="{FF2B5EF4-FFF2-40B4-BE49-F238E27FC236}">
              <a16:creationId xmlns:a16="http://schemas.microsoft.com/office/drawing/2014/main" id="{DD7DEBD7-4D2E-44C4-A809-60D69047D27F}"/>
            </a:ext>
          </a:extLst>
        </xdr:cNvPr>
        <xdr:cNvCxnSpPr/>
      </xdr:nvCxnSpPr>
      <xdr:spPr>
        <a:xfrm flipV="1">
          <a:off x="11283950" y="1659255"/>
          <a:ext cx="1805940" cy="508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10160</xdr:colOff>
      <xdr:row>9</xdr:row>
      <xdr:rowOff>15240</xdr:rowOff>
    </xdr:from>
    <xdr:to>
      <xdr:col>16</xdr:col>
      <xdr:colOff>22860</xdr:colOff>
      <xdr:row>9</xdr:row>
      <xdr:rowOff>17780</xdr:rowOff>
    </xdr:to>
    <xdr:cxnSp macro="">
      <xdr:nvCxnSpPr>
        <xdr:cNvPr id="83" name="Straight Connector 82">
          <a:extLst>
            <a:ext uri="{FF2B5EF4-FFF2-40B4-BE49-F238E27FC236}">
              <a16:creationId xmlns:a16="http://schemas.microsoft.com/office/drawing/2014/main" id="{71B3EF5F-6F9E-45A2-A12D-7E847250CA3E}"/>
            </a:ext>
          </a:extLst>
        </xdr:cNvPr>
        <xdr:cNvCxnSpPr/>
      </xdr:nvCxnSpPr>
      <xdr:spPr>
        <a:xfrm flipV="1">
          <a:off x="6715760" y="1661160"/>
          <a:ext cx="3060700" cy="25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426720</xdr:colOff>
      <xdr:row>4</xdr:row>
      <xdr:rowOff>83820</xdr:rowOff>
    </xdr:from>
    <xdr:to>
      <xdr:col>20</xdr:col>
      <xdr:colOff>30480</xdr:colOff>
      <xdr:row>4</xdr:row>
      <xdr:rowOff>99060</xdr:rowOff>
    </xdr:to>
    <xdr:cxnSp macro="">
      <xdr:nvCxnSpPr>
        <xdr:cNvPr id="84" name="Straight Connector 83">
          <a:extLst>
            <a:ext uri="{FF2B5EF4-FFF2-40B4-BE49-F238E27FC236}">
              <a16:creationId xmlns:a16="http://schemas.microsoft.com/office/drawing/2014/main" id="{009900D8-FB32-4C18-8311-FF4A1CB26227}"/>
            </a:ext>
          </a:extLst>
        </xdr:cNvPr>
        <xdr:cNvCxnSpPr/>
      </xdr:nvCxnSpPr>
      <xdr:spPr>
        <a:xfrm>
          <a:off x="4084320" y="815340"/>
          <a:ext cx="813816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433070</xdr:colOff>
      <xdr:row>4</xdr:row>
      <xdr:rowOff>71120</xdr:rowOff>
    </xdr:from>
    <xdr:to>
      <xdr:col>6</xdr:col>
      <xdr:colOff>434340</xdr:colOff>
      <xdr:row>5</xdr:row>
      <xdr:rowOff>76200</xdr:rowOff>
    </xdr:to>
    <xdr:cxnSp macro="">
      <xdr:nvCxnSpPr>
        <xdr:cNvPr id="85" name="Straight Connector 84">
          <a:extLst>
            <a:ext uri="{FF2B5EF4-FFF2-40B4-BE49-F238E27FC236}">
              <a16:creationId xmlns:a16="http://schemas.microsoft.com/office/drawing/2014/main" id="{0178980C-A32C-4A21-AE5F-B5D5921BDC07}"/>
            </a:ext>
          </a:extLst>
        </xdr:cNvPr>
        <xdr:cNvCxnSpPr/>
      </xdr:nvCxnSpPr>
      <xdr:spPr>
        <a:xfrm>
          <a:off x="4090670" y="802640"/>
          <a:ext cx="1270" cy="18796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20</xdr:col>
      <xdr:colOff>7620</xdr:colOff>
      <xdr:row>4</xdr:row>
      <xdr:rowOff>60960</xdr:rowOff>
    </xdr:from>
    <xdr:to>
      <xdr:col>20</xdr:col>
      <xdr:colOff>7620</xdr:colOff>
      <xdr:row>5</xdr:row>
      <xdr:rowOff>68580</xdr:rowOff>
    </xdr:to>
    <xdr:cxnSp macro="">
      <xdr:nvCxnSpPr>
        <xdr:cNvPr id="86" name="Straight Connector 85">
          <a:extLst>
            <a:ext uri="{FF2B5EF4-FFF2-40B4-BE49-F238E27FC236}">
              <a16:creationId xmlns:a16="http://schemas.microsoft.com/office/drawing/2014/main" id="{1B34A568-77FB-48B3-8EDD-66B31A561A0A}"/>
            </a:ext>
          </a:extLst>
        </xdr:cNvPr>
        <xdr:cNvCxnSpPr/>
      </xdr:nvCxnSpPr>
      <xdr:spPr>
        <a:xfrm>
          <a:off x="12199620" y="792480"/>
          <a:ext cx="0" cy="1905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184785</xdr:colOff>
      <xdr:row>18</xdr:row>
      <xdr:rowOff>172085</xdr:rowOff>
    </xdr:from>
    <xdr:to>
      <xdr:col>18</xdr:col>
      <xdr:colOff>186055</xdr:colOff>
      <xdr:row>20</xdr:row>
      <xdr:rowOff>52705</xdr:rowOff>
    </xdr:to>
    <xdr:cxnSp macro="">
      <xdr:nvCxnSpPr>
        <xdr:cNvPr id="87" name="Straight Connector 86">
          <a:extLst>
            <a:ext uri="{FF2B5EF4-FFF2-40B4-BE49-F238E27FC236}">
              <a16:creationId xmlns:a16="http://schemas.microsoft.com/office/drawing/2014/main" id="{E4E3A39B-FBC8-45DA-93CE-D9681F84DF9A}"/>
            </a:ext>
          </a:extLst>
        </xdr:cNvPr>
        <xdr:cNvCxnSpPr/>
      </xdr:nvCxnSpPr>
      <xdr:spPr>
        <a:xfrm flipH="1">
          <a:off x="11157585" y="346392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xdr:col>
      <xdr:colOff>241300</xdr:colOff>
      <xdr:row>14</xdr:row>
      <xdr:rowOff>2540</xdr:rowOff>
    </xdr:from>
    <xdr:to>
      <xdr:col>8</xdr:col>
      <xdr:colOff>242570</xdr:colOff>
      <xdr:row>15</xdr:row>
      <xdr:rowOff>50800</xdr:rowOff>
    </xdr:to>
    <xdr:cxnSp macro="">
      <xdr:nvCxnSpPr>
        <xdr:cNvPr id="88" name="Straight Connector 87">
          <a:extLst>
            <a:ext uri="{FF2B5EF4-FFF2-40B4-BE49-F238E27FC236}">
              <a16:creationId xmlns:a16="http://schemas.microsoft.com/office/drawing/2014/main" id="{4CC527E9-A826-4C53-81F1-29A861EC9D52}"/>
            </a:ext>
          </a:extLst>
        </xdr:cNvPr>
        <xdr:cNvCxnSpPr/>
      </xdr:nvCxnSpPr>
      <xdr:spPr>
        <a:xfrm flipH="1">
          <a:off x="5118100" y="2562860"/>
          <a:ext cx="1270" cy="23114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594360</xdr:colOff>
      <xdr:row>7</xdr:row>
      <xdr:rowOff>127000</xdr:rowOff>
    </xdr:from>
    <xdr:to>
      <xdr:col>13</xdr:col>
      <xdr:colOff>603250</xdr:colOff>
      <xdr:row>10</xdr:row>
      <xdr:rowOff>30480</xdr:rowOff>
    </xdr:to>
    <xdr:cxnSp macro="">
      <xdr:nvCxnSpPr>
        <xdr:cNvPr id="89" name="Straight Connector 88">
          <a:extLst>
            <a:ext uri="{FF2B5EF4-FFF2-40B4-BE49-F238E27FC236}">
              <a16:creationId xmlns:a16="http://schemas.microsoft.com/office/drawing/2014/main" id="{ED8B74B2-AD75-4C79-BF00-4BCBA651F313}"/>
            </a:ext>
          </a:extLst>
        </xdr:cNvPr>
        <xdr:cNvCxnSpPr/>
      </xdr:nvCxnSpPr>
      <xdr:spPr>
        <a:xfrm flipH="1">
          <a:off x="8519160" y="1407160"/>
          <a:ext cx="8890" cy="4521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342900</xdr:colOff>
      <xdr:row>14</xdr:row>
      <xdr:rowOff>40640</xdr:rowOff>
    </xdr:from>
    <xdr:to>
      <xdr:col>13</xdr:col>
      <xdr:colOff>356870</xdr:colOff>
      <xdr:row>15</xdr:row>
      <xdr:rowOff>106680</xdr:rowOff>
    </xdr:to>
    <xdr:cxnSp macro="">
      <xdr:nvCxnSpPr>
        <xdr:cNvPr id="90" name="Straight Connector 89">
          <a:extLst>
            <a:ext uri="{FF2B5EF4-FFF2-40B4-BE49-F238E27FC236}">
              <a16:creationId xmlns:a16="http://schemas.microsoft.com/office/drawing/2014/main" id="{91401F23-DC56-4F1C-A4E0-BF738EEC54E3}"/>
            </a:ext>
          </a:extLst>
        </xdr:cNvPr>
        <xdr:cNvCxnSpPr/>
      </xdr:nvCxnSpPr>
      <xdr:spPr>
        <a:xfrm flipH="1">
          <a:off x="8267700" y="2600960"/>
          <a:ext cx="13970" cy="2489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10</xdr:col>
      <xdr:colOff>556260</xdr:colOff>
      <xdr:row>12</xdr:row>
      <xdr:rowOff>152400</xdr:rowOff>
    </xdr:from>
    <xdr:to>
      <xdr:col>10</xdr:col>
      <xdr:colOff>560070</xdr:colOff>
      <xdr:row>15</xdr:row>
      <xdr:rowOff>99060</xdr:rowOff>
    </xdr:to>
    <xdr:cxnSp macro="">
      <xdr:nvCxnSpPr>
        <xdr:cNvPr id="91" name="Straight Connector 90">
          <a:extLst>
            <a:ext uri="{FF2B5EF4-FFF2-40B4-BE49-F238E27FC236}">
              <a16:creationId xmlns:a16="http://schemas.microsoft.com/office/drawing/2014/main" id="{9DF2A9AB-C6B8-4FCD-B528-D32CAC10E2C8}"/>
            </a:ext>
          </a:extLst>
        </xdr:cNvPr>
        <xdr:cNvCxnSpPr/>
      </xdr:nvCxnSpPr>
      <xdr:spPr>
        <a:xfrm flipH="1">
          <a:off x="6652260" y="2346960"/>
          <a:ext cx="3810" cy="4953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15240</xdr:colOff>
      <xdr:row>9</xdr:row>
      <xdr:rowOff>12700</xdr:rowOff>
    </xdr:from>
    <xdr:to>
      <xdr:col>11</xdr:col>
      <xdr:colOff>31750</xdr:colOff>
      <xdr:row>10</xdr:row>
      <xdr:rowOff>60960</xdr:rowOff>
    </xdr:to>
    <xdr:cxnSp macro="">
      <xdr:nvCxnSpPr>
        <xdr:cNvPr id="92" name="Straight Connector 91">
          <a:extLst>
            <a:ext uri="{FF2B5EF4-FFF2-40B4-BE49-F238E27FC236}">
              <a16:creationId xmlns:a16="http://schemas.microsoft.com/office/drawing/2014/main" id="{BFDD096C-3941-4B41-98FC-D87B3DDA5119}"/>
            </a:ext>
          </a:extLst>
        </xdr:cNvPr>
        <xdr:cNvCxnSpPr/>
      </xdr:nvCxnSpPr>
      <xdr:spPr>
        <a:xfrm flipH="1">
          <a:off x="6720840" y="1658620"/>
          <a:ext cx="16510" cy="23114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16</xdr:col>
      <xdr:colOff>13970</xdr:colOff>
      <xdr:row>9</xdr:row>
      <xdr:rowOff>17780</xdr:rowOff>
    </xdr:from>
    <xdr:to>
      <xdr:col>16</xdr:col>
      <xdr:colOff>15240</xdr:colOff>
      <xdr:row>10</xdr:row>
      <xdr:rowOff>45720</xdr:rowOff>
    </xdr:to>
    <xdr:cxnSp macro="">
      <xdr:nvCxnSpPr>
        <xdr:cNvPr id="93" name="Straight Connector 92">
          <a:extLst>
            <a:ext uri="{FF2B5EF4-FFF2-40B4-BE49-F238E27FC236}">
              <a16:creationId xmlns:a16="http://schemas.microsoft.com/office/drawing/2014/main" id="{D9747599-C0E9-461B-938A-5D5A6CA81493}"/>
            </a:ext>
          </a:extLst>
        </xdr:cNvPr>
        <xdr:cNvCxnSpPr/>
      </xdr:nvCxnSpPr>
      <xdr:spPr>
        <a:xfrm>
          <a:off x="9767570" y="1663700"/>
          <a:ext cx="1270" cy="2108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445770</xdr:colOff>
      <xdr:row>7</xdr:row>
      <xdr:rowOff>137160</xdr:rowOff>
    </xdr:from>
    <xdr:to>
      <xdr:col>6</xdr:col>
      <xdr:colOff>457200</xdr:colOff>
      <xdr:row>9</xdr:row>
      <xdr:rowOff>7620</xdr:rowOff>
    </xdr:to>
    <xdr:cxnSp macro="">
      <xdr:nvCxnSpPr>
        <xdr:cNvPr id="94" name="Straight Connector 93">
          <a:extLst>
            <a:ext uri="{FF2B5EF4-FFF2-40B4-BE49-F238E27FC236}">
              <a16:creationId xmlns:a16="http://schemas.microsoft.com/office/drawing/2014/main" id="{9439ECE8-2D41-485B-B900-B53D1B7070E9}"/>
            </a:ext>
          </a:extLst>
        </xdr:cNvPr>
        <xdr:cNvCxnSpPr/>
      </xdr:nvCxnSpPr>
      <xdr:spPr>
        <a:xfrm>
          <a:off x="4103370" y="1417320"/>
          <a:ext cx="11430" cy="2362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8890</xdr:colOff>
      <xdr:row>9</xdr:row>
      <xdr:rowOff>20320</xdr:rowOff>
    </xdr:from>
    <xdr:to>
      <xdr:col>5</xdr:col>
      <xdr:colOff>22860</xdr:colOff>
      <xdr:row>10</xdr:row>
      <xdr:rowOff>38100</xdr:rowOff>
    </xdr:to>
    <xdr:cxnSp macro="">
      <xdr:nvCxnSpPr>
        <xdr:cNvPr id="95" name="Straight Connector 94">
          <a:extLst>
            <a:ext uri="{FF2B5EF4-FFF2-40B4-BE49-F238E27FC236}">
              <a16:creationId xmlns:a16="http://schemas.microsoft.com/office/drawing/2014/main" id="{F979A8A6-6062-4DCF-990B-4590C31263F6}"/>
            </a:ext>
          </a:extLst>
        </xdr:cNvPr>
        <xdr:cNvCxnSpPr/>
      </xdr:nvCxnSpPr>
      <xdr:spPr>
        <a:xfrm>
          <a:off x="3056890" y="1666240"/>
          <a:ext cx="13970" cy="20066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608330</xdr:colOff>
      <xdr:row>9</xdr:row>
      <xdr:rowOff>25400</xdr:rowOff>
    </xdr:from>
    <xdr:to>
      <xdr:col>8</xdr:col>
      <xdr:colOff>0</xdr:colOff>
      <xdr:row>10</xdr:row>
      <xdr:rowOff>7620</xdr:rowOff>
    </xdr:to>
    <xdr:cxnSp macro="">
      <xdr:nvCxnSpPr>
        <xdr:cNvPr id="96" name="Straight Connector 95">
          <a:extLst>
            <a:ext uri="{FF2B5EF4-FFF2-40B4-BE49-F238E27FC236}">
              <a16:creationId xmlns:a16="http://schemas.microsoft.com/office/drawing/2014/main" id="{09F3F72E-3DC5-4A4E-B850-DBF44227BD42}"/>
            </a:ext>
          </a:extLst>
        </xdr:cNvPr>
        <xdr:cNvCxnSpPr/>
      </xdr:nvCxnSpPr>
      <xdr:spPr>
        <a:xfrm>
          <a:off x="4875530" y="1671320"/>
          <a:ext cx="1270" cy="1651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400050</xdr:colOff>
      <xdr:row>7</xdr:row>
      <xdr:rowOff>41910</xdr:rowOff>
    </xdr:from>
    <xdr:to>
      <xdr:col>20</xdr:col>
      <xdr:colOff>217170</xdr:colOff>
      <xdr:row>8</xdr:row>
      <xdr:rowOff>72390</xdr:rowOff>
    </xdr:to>
    <xdr:sp macro="" textlink="">
      <xdr:nvSpPr>
        <xdr:cNvPr id="97" name="Moon 96">
          <a:extLst>
            <a:ext uri="{FF2B5EF4-FFF2-40B4-BE49-F238E27FC236}">
              <a16:creationId xmlns:a16="http://schemas.microsoft.com/office/drawing/2014/main" id="{64F18E19-1D08-43DD-BD7A-2545BD1B00DA}"/>
            </a:ext>
          </a:extLst>
        </xdr:cNvPr>
        <xdr:cNvSpPr/>
      </xdr:nvSpPr>
      <xdr:spPr>
        <a:xfrm rot="5400000">
          <a:off x="12089130" y="121539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10</xdr:col>
      <xdr:colOff>336550</xdr:colOff>
      <xdr:row>12</xdr:row>
      <xdr:rowOff>31750</xdr:rowOff>
    </xdr:from>
    <xdr:to>
      <xdr:col>11</xdr:col>
      <xdr:colOff>153670</xdr:colOff>
      <xdr:row>13</xdr:row>
      <xdr:rowOff>62230</xdr:rowOff>
    </xdr:to>
    <xdr:sp macro="" textlink="">
      <xdr:nvSpPr>
        <xdr:cNvPr id="98" name="Moon 97">
          <a:extLst>
            <a:ext uri="{FF2B5EF4-FFF2-40B4-BE49-F238E27FC236}">
              <a16:creationId xmlns:a16="http://schemas.microsoft.com/office/drawing/2014/main" id="{1010F857-DDF8-4C26-8FF0-72FD96865A98}"/>
            </a:ext>
          </a:extLst>
        </xdr:cNvPr>
        <xdr:cNvSpPr/>
      </xdr:nvSpPr>
      <xdr:spPr>
        <a:xfrm rot="5400000">
          <a:off x="6539230" y="211963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19</xdr:col>
      <xdr:colOff>219710</xdr:colOff>
      <xdr:row>17</xdr:row>
      <xdr:rowOff>29210</xdr:rowOff>
    </xdr:from>
    <xdr:to>
      <xdr:col>20</xdr:col>
      <xdr:colOff>36830</xdr:colOff>
      <xdr:row>18</xdr:row>
      <xdr:rowOff>59690</xdr:rowOff>
    </xdr:to>
    <xdr:sp macro="" textlink="">
      <xdr:nvSpPr>
        <xdr:cNvPr id="99" name="Moon 98">
          <a:extLst>
            <a:ext uri="{FF2B5EF4-FFF2-40B4-BE49-F238E27FC236}">
              <a16:creationId xmlns:a16="http://schemas.microsoft.com/office/drawing/2014/main" id="{87F40941-3BAC-46AB-B2CA-A200A631A5A7}"/>
            </a:ext>
          </a:extLst>
        </xdr:cNvPr>
        <xdr:cNvSpPr/>
      </xdr:nvSpPr>
      <xdr:spPr>
        <a:xfrm rot="5400000">
          <a:off x="11908790" y="303149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19</xdr:col>
      <xdr:colOff>532765</xdr:colOff>
      <xdr:row>14</xdr:row>
      <xdr:rowOff>21590</xdr:rowOff>
    </xdr:from>
    <xdr:to>
      <xdr:col>19</xdr:col>
      <xdr:colOff>534035</xdr:colOff>
      <xdr:row>15</xdr:row>
      <xdr:rowOff>85090</xdr:rowOff>
    </xdr:to>
    <xdr:cxnSp macro="">
      <xdr:nvCxnSpPr>
        <xdr:cNvPr id="100" name="Straight Connector 99">
          <a:extLst>
            <a:ext uri="{FF2B5EF4-FFF2-40B4-BE49-F238E27FC236}">
              <a16:creationId xmlns:a16="http://schemas.microsoft.com/office/drawing/2014/main" id="{76543C58-C5D8-4F47-AD71-2C2C238B7AF0}"/>
            </a:ext>
          </a:extLst>
        </xdr:cNvPr>
        <xdr:cNvCxnSpPr/>
      </xdr:nvCxnSpPr>
      <xdr:spPr>
        <a:xfrm flipH="1">
          <a:off x="12115165" y="258191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598170</xdr:colOff>
      <xdr:row>7</xdr:row>
      <xdr:rowOff>143510</xdr:rowOff>
    </xdr:from>
    <xdr:to>
      <xdr:col>19</xdr:col>
      <xdr:colOff>599440</xdr:colOff>
      <xdr:row>9</xdr:row>
      <xdr:rowOff>24130</xdr:rowOff>
    </xdr:to>
    <xdr:cxnSp macro="">
      <xdr:nvCxnSpPr>
        <xdr:cNvPr id="101" name="Straight Connector 100">
          <a:extLst>
            <a:ext uri="{FF2B5EF4-FFF2-40B4-BE49-F238E27FC236}">
              <a16:creationId xmlns:a16="http://schemas.microsoft.com/office/drawing/2014/main" id="{89C746E0-A1B1-46D1-957D-A09B832B0615}"/>
            </a:ext>
          </a:extLst>
        </xdr:cNvPr>
        <xdr:cNvCxnSpPr/>
      </xdr:nvCxnSpPr>
      <xdr:spPr>
        <a:xfrm flipH="1">
          <a:off x="12180570" y="142367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427355</xdr:colOff>
      <xdr:row>17</xdr:row>
      <xdr:rowOff>142875</xdr:rowOff>
    </xdr:from>
    <xdr:to>
      <xdr:col>19</xdr:col>
      <xdr:colOff>428625</xdr:colOff>
      <xdr:row>19</xdr:row>
      <xdr:rowOff>23495</xdr:rowOff>
    </xdr:to>
    <xdr:cxnSp macro="">
      <xdr:nvCxnSpPr>
        <xdr:cNvPr id="102" name="Straight Connector 101">
          <a:extLst>
            <a:ext uri="{FF2B5EF4-FFF2-40B4-BE49-F238E27FC236}">
              <a16:creationId xmlns:a16="http://schemas.microsoft.com/office/drawing/2014/main" id="{0105346E-7BF0-45EC-B7E1-392B20A01662}"/>
            </a:ext>
          </a:extLst>
        </xdr:cNvPr>
        <xdr:cNvCxnSpPr/>
      </xdr:nvCxnSpPr>
      <xdr:spPr>
        <a:xfrm flipH="1">
          <a:off x="12009755" y="325183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59055</xdr:colOff>
      <xdr:row>19</xdr:row>
      <xdr:rowOff>10160</xdr:rowOff>
    </xdr:from>
    <xdr:to>
      <xdr:col>21</xdr:col>
      <xdr:colOff>60325</xdr:colOff>
      <xdr:row>20</xdr:row>
      <xdr:rowOff>73660</xdr:rowOff>
    </xdr:to>
    <xdr:cxnSp macro="">
      <xdr:nvCxnSpPr>
        <xdr:cNvPr id="103" name="Straight Connector 102">
          <a:extLst>
            <a:ext uri="{FF2B5EF4-FFF2-40B4-BE49-F238E27FC236}">
              <a16:creationId xmlns:a16="http://schemas.microsoft.com/office/drawing/2014/main" id="{88248FBE-A304-484D-B431-DC0A60F39F44}"/>
            </a:ext>
          </a:extLst>
        </xdr:cNvPr>
        <xdr:cNvCxnSpPr/>
      </xdr:nvCxnSpPr>
      <xdr:spPr>
        <a:xfrm flipH="1">
          <a:off x="12860655" y="348488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17</xdr:col>
      <xdr:colOff>119380</xdr:colOff>
      <xdr:row>13</xdr:row>
      <xdr:rowOff>180975</xdr:rowOff>
    </xdr:from>
    <xdr:to>
      <xdr:col>17</xdr:col>
      <xdr:colOff>120650</xdr:colOff>
      <xdr:row>15</xdr:row>
      <xdr:rowOff>61595</xdr:rowOff>
    </xdr:to>
    <xdr:cxnSp macro="">
      <xdr:nvCxnSpPr>
        <xdr:cNvPr id="104" name="Straight Connector 103">
          <a:extLst>
            <a:ext uri="{FF2B5EF4-FFF2-40B4-BE49-F238E27FC236}">
              <a16:creationId xmlns:a16="http://schemas.microsoft.com/office/drawing/2014/main" id="{0D49F07E-2034-4B7D-97BB-580EE9A1E7CC}"/>
            </a:ext>
          </a:extLst>
        </xdr:cNvPr>
        <xdr:cNvCxnSpPr/>
      </xdr:nvCxnSpPr>
      <xdr:spPr>
        <a:xfrm flipH="1">
          <a:off x="10482580" y="255841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332105</xdr:colOff>
      <xdr:row>13</xdr:row>
      <xdr:rowOff>87630</xdr:rowOff>
    </xdr:from>
    <xdr:to>
      <xdr:col>18</xdr:col>
      <xdr:colOff>341630</xdr:colOff>
      <xdr:row>14</xdr:row>
      <xdr:rowOff>24765</xdr:rowOff>
    </xdr:to>
    <xdr:cxnSp macro="">
      <xdr:nvCxnSpPr>
        <xdr:cNvPr id="105" name="Straight Connector 104">
          <a:extLst>
            <a:ext uri="{FF2B5EF4-FFF2-40B4-BE49-F238E27FC236}">
              <a16:creationId xmlns:a16="http://schemas.microsoft.com/office/drawing/2014/main" id="{BDFC954B-42B9-4FCC-BDE8-783FAC835C11}"/>
            </a:ext>
          </a:extLst>
        </xdr:cNvPr>
        <xdr:cNvCxnSpPr/>
      </xdr:nvCxnSpPr>
      <xdr:spPr>
        <a:xfrm>
          <a:off x="11304905" y="2465070"/>
          <a:ext cx="9525" cy="120015"/>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314960</xdr:colOff>
      <xdr:row>9</xdr:row>
      <xdr:rowOff>12700</xdr:rowOff>
    </xdr:from>
    <xdr:to>
      <xdr:col>18</xdr:col>
      <xdr:colOff>316230</xdr:colOff>
      <xdr:row>10</xdr:row>
      <xdr:rowOff>76200</xdr:rowOff>
    </xdr:to>
    <xdr:cxnSp macro="">
      <xdr:nvCxnSpPr>
        <xdr:cNvPr id="106" name="Straight Connector 105">
          <a:extLst>
            <a:ext uri="{FF2B5EF4-FFF2-40B4-BE49-F238E27FC236}">
              <a16:creationId xmlns:a16="http://schemas.microsoft.com/office/drawing/2014/main" id="{CB27D2C7-ADE0-4F01-AB46-7DA6F341D8D2}"/>
            </a:ext>
          </a:extLst>
        </xdr:cNvPr>
        <xdr:cNvCxnSpPr/>
      </xdr:nvCxnSpPr>
      <xdr:spPr>
        <a:xfrm flipH="1">
          <a:off x="11287760" y="165862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283845</xdr:colOff>
      <xdr:row>9</xdr:row>
      <xdr:rowOff>20955</xdr:rowOff>
    </xdr:from>
    <xdr:to>
      <xdr:col>21</xdr:col>
      <xdr:colOff>285115</xdr:colOff>
      <xdr:row>10</xdr:row>
      <xdr:rowOff>84455</xdr:rowOff>
    </xdr:to>
    <xdr:cxnSp macro="">
      <xdr:nvCxnSpPr>
        <xdr:cNvPr id="107" name="Straight Connector 106">
          <a:extLst>
            <a:ext uri="{FF2B5EF4-FFF2-40B4-BE49-F238E27FC236}">
              <a16:creationId xmlns:a16="http://schemas.microsoft.com/office/drawing/2014/main" id="{78648592-6399-4A89-8A97-E4910652DB93}"/>
            </a:ext>
          </a:extLst>
        </xdr:cNvPr>
        <xdr:cNvCxnSpPr/>
      </xdr:nvCxnSpPr>
      <xdr:spPr>
        <a:xfrm flipH="1">
          <a:off x="13085445" y="166687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7620</xdr:colOff>
      <xdr:row>1</xdr:row>
      <xdr:rowOff>30480</xdr:rowOff>
    </xdr:from>
    <xdr:to>
      <xdr:col>14</xdr:col>
      <xdr:colOff>610235</xdr:colOff>
      <xdr:row>3</xdr:row>
      <xdr:rowOff>21590</xdr:rowOff>
    </xdr:to>
    <xdr:sp macro="" textlink="">
      <xdr:nvSpPr>
        <xdr:cNvPr id="2" name="Rectangles 3">
          <a:extLst>
            <a:ext uri="{FF2B5EF4-FFF2-40B4-BE49-F238E27FC236}">
              <a16:creationId xmlns:a16="http://schemas.microsoft.com/office/drawing/2014/main" id="{19D35AB7-B30D-4CEC-B20D-85AB349A4C46}"/>
            </a:ext>
          </a:extLst>
        </xdr:cNvPr>
        <xdr:cNvSpPr/>
      </xdr:nvSpPr>
      <xdr:spPr>
        <a:xfrm>
          <a:off x="10454640" y="21336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GB" altLang="en-US" sz="800"/>
            <a:t>Non optimal route suggestion</a:t>
          </a:r>
        </a:p>
      </xdr:txBody>
    </xdr:sp>
    <xdr:clientData/>
  </xdr:twoCellAnchor>
  <xdr:twoCellAnchor>
    <xdr:from>
      <xdr:col>5</xdr:col>
      <xdr:colOff>393700</xdr:colOff>
      <xdr:row>5</xdr:row>
      <xdr:rowOff>12700</xdr:rowOff>
    </xdr:from>
    <xdr:to>
      <xdr:col>7</xdr:col>
      <xdr:colOff>386715</xdr:colOff>
      <xdr:row>7</xdr:row>
      <xdr:rowOff>43180</xdr:rowOff>
    </xdr:to>
    <xdr:sp macro="" textlink="">
      <xdr:nvSpPr>
        <xdr:cNvPr id="3" name="Rectangles 4">
          <a:extLst>
            <a:ext uri="{FF2B5EF4-FFF2-40B4-BE49-F238E27FC236}">
              <a16:creationId xmlns:a16="http://schemas.microsoft.com/office/drawing/2014/main" id="{AEE9E876-76DD-4E77-8A62-43EBC46D6FED}"/>
            </a:ext>
          </a:extLst>
        </xdr:cNvPr>
        <xdr:cNvSpPr/>
      </xdr:nvSpPr>
      <xdr:spPr>
        <a:xfrm>
          <a:off x="5910580" y="927100"/>
          <a:ext cx="1212215" cy="39624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GB" sz="800"/>
            <a:t>Optimization algorithm failure</a:t>
          </a:r>
        </a:p>
      </xdr:txBody>
    </xdr:sp>
    <xdr:clientData/>
  </xdr:twoCellAnchor>
  <xdr:twoCellAnchor>
    <xdr:from>
      <xdr:col>7</xdr:col>
      <xdr:colOff>314960</xdr:colOff>
      <xdr:row>15</xdr:row>
      <xdr:rowOff>10160</xdr:rowOff>
    </xdr:from>
    <xdr:to>
      <xdr:col>9</xdr:col>
      <xdr:colOff>307975</xdr:colOff>
      <xdr:row>17</xdr:row>
      <xdr:rowOff>1270</xdr:rowOff>
    </xdr:to>
    <xdr:sp macro="" textlink="">
      <xdr:nvSpPr>
        <xdr:cNvPr id="4" name="Rectangles 5">
          <a:extLst>
            <a:ext uri="{FF2B5EF4-FFF2-40B4-BE49-F238E27FC236}">
              <a16:creationId xmlns:a16="http://schemas.microsoft.com/office/drawing/2014/main" id="{13BD5A90-38CA-4DA8-8D35-756EAD8F134C}"/>
            </a:ext>
          </a:extLst>
        </xdr:cNvPr>
        <xdr:cNvSpPr/>
      </xdr:nvSpPr>
      <xdr:spPr>
        <a:xfrm>
          <a:off x="7051040" y="275336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Weak GPS signal by satellite</a:t>
          </a:r>
        </a:p>
      </xdr:txBody>
    </xdr:sp>
    <xdr:clientData/>
  </xdr:twoCellAnchor>
  <xdr:twoCellAnchor>
    <xdr:from>
      <xdr:col>10</xdr:col>
      <xdr:colOff>7620</xdr:colOff>
      <xdr:row>15</xdr:row>
      <xdr:rowOff>15240</xdr:rowOff>
    </xdr:from>
    <xdr:to>
      <xdr:col>12</xdr:col>
      <xdr:colOff>0</xdr:colOff>
      <xdr:row>16</xdr:row>
      <xdr:rowOff>181610</xdr:rowOff>
    </xdr:to>
    <xdr:sp macro="" textlink="">
      <xdr:nvSpPr>
        <xdr:cNvPr id="5" name="Rectangles 6">
          <a:extLst>
            <a:ext uri="{FF2B5EF4-FFF2-40B4-BE49-F238E27FC236}">
              <a16:creationId xmlns:a16="http://schemas.microsoft.com/office/drawing/2014/main" id="{66DAD23E-A341-4AF7-BB40-355CF999367C}"/>
            </a:ext>
          </a:extLst>
        </xdr:cNvPr>
        <xdr:cNvSpPr/>
      </xdr:nvSpPr>
      <xdr:spPr>
        <a:xfrm>
          <a:off x="8572500" y="2758440"/>
          <a:ext cx="1264920" cy="3492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Poor GPS update rate</a:t>
          </a:r>
        </a:p>
      </xdr:txBody>
    </xdr:sp>
    <xdr:clientData/>
  </xdr:twoCellAnchor>
  <xdr:twoCellAnchor>
    <xdr:from>
      <xdr:col>12</xdr:col>
      <xdr:colOff>386080</xdr:colOff>
      <xdr:row>15</xdr:row>
      <xdr:rowOff>20320</xdr:rowOff>
    </xdr:from>
    <xdr:to>
      <xdr:col>14</xdr:col>
      <xdr:colOff>379095</xdr:colOff>
      <xdr:row>17</xdr:row>
      <xdr:rowOff>3810</xdr:rowOff>
    </xdr:to>
    <xdr:sp macro="" textlink="">
      <xdr:nvSpPr>
        <xdr:cNvPr id="6" name="Rectangles 7">
          <a:extLst>
            <a:ext uri="{FF2B5EF4-FFF2-40B4-BE49-F238E27FC236}">
              <a16:creationId xmlns:a16="http://schemas.microsoft.com/office/drawing/2014/main" id="{7224E54F-25DB-42E9-8303-78823EE6D0EB}"/>
            </a:ext>
          </a:extLst>
        </xdr:cNvPr>
        <xdr:cNvSpPr/>
      </xdr:nvSpPr>
      <xdr:spPr>
        <a:xfrm>
          <a:off x="10223500" y="2763520"/>
          <a:ext cx="1212215" cy="3492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Software error in reading GPS data</a:t>
          </a:r>
        </a:p>
      </xdr:txBody>
    </xdr:sp>
    <xdr:clientData/>
  </xdr:twoCellAnchor>
  <xdr:twoCellAnchor>
    <xdr:from>
      <xdr:col>4</xdr:col>
      <xdr:colOff>17780</xdr:colOff>
      <xdr:row>9</xdr:row>
      <xdr:rowOff>170180</xdr:rowOff>
    </xdr:from>
    <xdr:to>
      <xdr:col>6</xdr:col>
      <xdr:colOff>10795</xdr:colOff>
      <xdr:row>12</xdr:row>
      <xdr:rowOff>17145</xdr:rowOff>
    </xdr:to>
    <xdr:sp macro="" textlink="">
      <xdr:nvSpPr>
        <xdr:cNvPr id="7" name="Rectangles 8">
          <a:extLst>
            <a:ext uri="{FF2B5EF4-FFF2-40B4-BE49-F238E27FC236}">
              <a16:creationId xmlns:a16="http://schemas.microsoft.com/office/drawing/2014/main" id="{2B8308ED-E0FF-46D9-A21D-A83F1B0A9B93}"/>
            </a:ext>
          </a:extLst>
        </xdr:cNvPr>
        <xdr:cNvSpPr/>
      </xdr:nvSpPr>
      <xdr:spPr>
        <a:xfrm>
          <a:off x="4925060" y="1816100"/>
          <a:ext cx="1212215" cy="39560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Wrong optimization parameter by user</a:t>
          </a:r>
        </a:p>
      </xdr:txBody>
    </xdr:sp>
    <xdr:clientData/>
  </xdr:twoCellAnchor>
  <xdr:twoCellAnchor>
    <xdr:from>
      <xdr:col>6</xdr:col>
      <xdr:colOff>594360</xdr:colOff>
      <xdr:row>10</xdr:row>
      <xdr:rowOff>7620</xdr:rowOff>
    </xdr:from>
    <xdr:to>
      <xdr:col>8</xdr:col>
      <xdr:colOff>587375</xdr:colOff>
      <xdr:row>12</xdr:row>
      <xdr:rowOff>45085</xdr:rowOff>
    </xdr:to>
    <xdr:sp macro="" textlink="">
      <xdr:nvSpPr>
        <xdr:cNvPr id="8" name="Rectangles 9">
          <a:extLst>
            <a:ext uri="{FF2B5EF4-FFF2-40B4-BE49-F238E27FC236}">
              <a16:creationId xmlns:a16="http://schemas.microsoft.com/office/drawing/2014/main" id="{1599C186-0A63-4933-A301-3D8F521B37DD}"/>
            </a:ext>
          </a:extLst>
        </xdr:cNvPr>
        <xdr:cNvSpPr/>
      </xdr:nvSpPr>
      <xdr:spPr>
        <a:xfrm>
          <a:off x="6720840" y="1836420"/>
          <a:ext cx="1212215" cy="40322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Multiobjective solver optimization numerical instability</a:t>
          </a:r>
        </a:p>
      </xdr:txBody>
    </xdr:sp>
    <xdr:clientData/>
  </xdr:twoCellAnchor>
  <xdr:twoCellAnchor>
    <xdr:from>
      <xdr:col>9</xdr:col>
      <xdr:colOff>568960</xdr:colOff>
      <xdr:row>9</xdr:row>
      <xdr:rowOff>180340</xdr:rowOff>
    </xdr:from>
    <xdr:to>
      <xdr:col>11</xdr:col>
      <xdr:colOff>561975</xdr:colOff>
      <xdr:row>12</xdr:row>
      <xdr:rowOff>27940</xdr:rowOff>
    </xdr:to>
    <xdr:sp macro="" textlink="">
      <xdr:nvSpPr>
        <xdr:cNvPr id="9" name="Rectangles 10">
          <a:extLst>
            <a:ext uri="{FF2B5EF4-FFF2-40B4-BE49-F238E27FC236}">
              <a16:creationId xmlns:a16="http://schemas.microsoft.com/office/drawing/2014/main" id="{ACB9DECA-0C87-473C-9172-8DC6FAF4A868}"/>
            </a:ext>
          </a:extLst>
        </xdr:cNvPr>
        <xdr:cNvSpPr/>
      </xdr:nvSpPr>
      <xdr:spPr>
        <a:xfrm>
          <a:off x="8524240" y="1826260"/>
          <a:ext cx="1265555" cy="39624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GPS signal</a:t>
          </a:r>
        </a:p>
      </xdr:txBody>
    </xdr:sp>
    <xdr:clientData/>
  </xdr:twoCellAnchor>
  <xdr:twoCellAnchor>
    <xdr:from>
      <xdr:col>12</xdr:col>
      <xdr:colOff>505460</xdr:colOff>
      <xdr:row>9</xdr:row>
      <xdr:rowOff>162560</xdr:rowOff>
    </xdr:from>
    <xdr:to>
      <xdr:col>14</xdr:col>
      <xdr:colOff>498475</xdr:colOff>
      <xdr:row>12</xdr:row>
      <xdr:rowOff>8890</xdr:rowOff>
    </xdr:to>
    <xdr:sp macro="" textlink="">
      <xdr:nvSpPr>
        <xdr:cNvPr id="10" name="Rectangles 11">
          <a:extLst>
            <a:ext uri="{FF2B5EF4-FFF2-40B4-BE49-F238E27FC236}">
              <a16:creationId xmlns:a16="http://schemas.microsoft.com/office/drawing/2014/main" id="{A940A8D2-4B2D-4727-939A-0BC5D0921F3A}"/>
            </a:ext>
          </a:extLst>
        </xdr:cNvPr>
        <xdr:cNvSpPr/>
      </xdr:nvSpPr>
      <xdr:spPr>
        <a:xfrm>
          <a:off x="10342880" y="1808480"/>
          <a:ext cx="1212215" cy="3949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Unexpected detour not accounted</a:t>
          </a:r>
        </a:p>
      </xdr:txBody>
    </xdr:sp>
    <xdr:clientData/>
  </xdr:twoCellAnchor>
  <xdr:twoCellAnchor>
    <xdr:from>
      <xdr:col>15</xdr:col>
      <xdr:colOff>198120</xdr:colOff>
      <xdr:row>9</xdr:row>
      <xdr:rowOff>152400</xdr:rowOff>
    </xdr:from>
    <xdr:to>
      <xdr:col>17</xdr:col>
      <xdr:colOff>190500</xdr:colOff>
      <xdr:row>12</xdr:row>
      <xdr:rowOff>21590</xdr:rowOff>
    </xdr:to>
    <xdr:sp macro="" textlink="">
      <xdr:nvSpPr>
        <xdr:cNvPr id="11" name="Rectangles 12">
          <a:extLst>
            <a:ext uri="{FF2B5EF4-FFF2-40B4-BE49-F238E27FC236}">
              <a16:creationId xmlns:a16="http://schemas.microsoft.com/office/drawing/2014/main" id="{39D27F2C-5AE6-442C-A4AD-730CC01CC551}"/>
            </a:ext>
          </a:extLst>
        </xdr:cNvPr>
        <xdr:cNvSpPr/>
      </xdr:nvSpPr>
      <xdr:spPr>
        <a:xfrm>
          <a:off x="11864340" y="1798320"/>
          <a:ext cx="1485900" cy="41783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Traffic condition not updated</a:t>
          </a:r>
        </a:p>
      </xdr:txBody>
    </xdr:sp>
    <xdr:clientData/>
  </xdr:twoCellAnchor>
  <xdr:twoCellAnchor>
    <xdr:from>
      <xdr:col>12</xdr:col>
      <xdr:colOff>599440</xdr:colOff>
      <xdr:row>5</xdr:row>
      <xdr:rowOff>12700</xdr:rowOff>
    </xdr:from>
    <xdr:to>
      <xdr:col>14</xdr:col>
      <xdr:colOff>592455</xdr:colOff>
      <xdr:row>7</xdr:row>
      <xdr:rowOff>41275</xdr:rowOff>
    </xdr:to>
    <xdr:sp macro="" textlink="">
      <xdr:nvSpPr>
        <xdr:cNvPr id="12" name="Rectangles 13">
          <a:extLst>
            <a:ext uri="{FF2B5EF4-FFF2-40B4-BE49-F238E27FC236}">
              <a16:creationId xmlns:a16="http://schemas.microsoft.com/office/drawing/2014/main" id="{479F3D58-DFF1-496F-A916-388A56CCD3AE}"/>
            </a:ext>
          </a:extLst>
        </xdr:cNvPr>
        <xdr:cNvSpPr/>
      </xdr:nvSpPr>
      <xdr:spPr>
        <a:xfrm>
          <a:off x="10436860" y="927100"/>
          <a:ext cx="1212215" cy="39433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time required prediction</a:t>
          </a:r>
        </a:p>
      </xdr:txBody>
    </xdr:sp>
    <xdr:clientData/>
  </xdr:twoCellAnchor>
  <xdr:twoCellAnchor>
    <xdr:from>
      <xdr:col>18</xdr:col>
      <xdr:colOff>566420</xdr:colOff>
      <xdr:row>5</xdr:row>
      <xdr:rowOff>2540</xdr:rowOff>
    </xdr:from>
    <xdr:to>
      <xdr:col>20</xdr:col>
      <xdr:colOff>559435</xdr:colOff>
      <xdr:row>7</xdr:row>
      <xdr:rowOff>32385</xdr:rowOff>
    </xdr:to>
    <xdr:sp macro="" textlink="">
      <xdr:nvSpPr>
        <xdr:cNvPr id="13" name="Rectangles 14">
          <a:extLst>
            <a:ext uri="{FF2B5EF4-FFF2-40B4-BE49-F238E27FC236}">
              <a16:creationId xmlns:a16="http://schemas.microsoft.com/office/drawing/2014/main" id="{DA476890-23B8-4E98-B60B-3659989CB37A}"/>
            </a:ext>
          </a:extLst>
        </xdr:cNvPr>
        <xdr:cNvSpPr/>
      </xdr:nvSpPr>
      <xdr:spPr>
        <a:xfrm>
          <a:off x="14335760" y="916940"/>
          <a:ext cx="1212215" cy="39560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Inaccurate sun exposure prediction</a:t>
          </a:r>
        </a:p>
      </xdr:txBody>
    </xdr:sp>
    <xdr:clientData/>
  </xdr:twoCellAnchor>
  <xdr:twoCellAnchor>
    <xdr:from>
      <xdr:col>20</xdr:col>
      <xdr:colOff>205740</xdr:colOff>
      <xdr:row>9</xdr:row>
      <xdr:rowOff>167640</xdr:rowOff>
    </xdr:from>
    <xdr:to>
      <xdr:col>22</xdr:col>
      <xdr:colOff>198755</xdr:colOff>
      <xdr:row>12</xdr:row>
      <xdr:rowOff>44450</xdr:rowOff>
    </xdr:to>
    <xdr:sp macro="" textlink="">
      <xdr:nvSpPr>
        <xdr:cNvPr id="14" name="Rectangles 15">
          <a:extLst>
            <a:ext uri="{FF2B5EF4-FFF2-40B4-BE49-F238E27FC236}">
              <a16:creationId xmlns:a16="http://schemas.microsoft.com/office/drawing/2014/main" id="{D9281754-E815-437C-82AE-B1056CD98F7D}"/>
            </a:ext>
          </a:extLst>
        </xdr:cNvPr>
        <xdr:cNvSpPr/>
      </xdr:nvSpPr>
      <xdr:spPr>
        <a:xfrm>
          <a:off x="15194280" y="1813560"/>
          <a:ext cx="1334135" cy="42545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Incosistent orientation between sun position and infrastructure data</a:t>
          </a:r>
        </a:p>
      </xdr:txBody>
    </xdr:sp>
    <xdr:clientData/>
  </xdr:twoCellAnchor>
  <xdr:twoCellAnchor>
    <xdr:from>
      <xdr:col>17</xdr:col>
      <xdr:colOff>386080</xdr:colOff>
      <xdr:row>9</xdr:row>
      <xdr:rowOff>180340</xdr:rowOff>
    </xdr:from>
    <xdr:to>
      <xdr:col>19</xdr:col>
      <xdr:colOff>379095</xdr:colOff>
      <xdr:row>12</xdr:row>
      <xdr:rowOff>57785</xdr:rowOff>
    </xdr:to>
    <xdr:sp macro="" textlink="">
      <xdr:nvSpPr>
        <xdr:cNvPr id="15" name="Rectangles 16">
          <a:extLst>
            <a:ext uri="{FF2B5EF4-FFF2-40B4-BE49-F238E27FC236}">
              <a16:creationId xmlns:a16="http://schemas.microsoft.com/office/drawing/2014/main" id="{2D9F5DFB-ED06-414A-AC3B-AB7E427E31E2}"/>
            </a:ext>
          </a:extLst>
        </xdr:cNvPr>
        <xdr:cNvSpPr/>
      </xdr:nvSpPr>
      <xdr:spPr>
        <a:xfrm>
          <a:off x="13545820" y="1826260"/>
          <a:ext cx="1212215" cy="42608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Outdated weather data</a:t>
          </a:r>
        </a:p>
      </xdr:txBody>
    </xdr:sp>
    <xdr:clientData/>
  </xdr:twoCellAnchor>
  <xdr:twoCellAnchor>
    <xdr:from>
      <xdr:col>18</xdr:col>
      <xdr:colOff>482600</xdr:colOff>
      <xdr:row>15</xdr:row>
      <xdr:rowOff>10160</xdr:rowOff>
    </xdr:from>
    <xdr:to>
      <xdr:col>20</xdr:col>
      <xdr:colOff>475615</xdr:colOff>
      <xdr:row>17</xdr:row>
      <xdr:rowOff>17145</xdr:rowOff>
    </xdr:to>
    <xdr:sp macro="" textlink="">
      <xdr:nvSpPr>
        <xdr:cNvPr id="16" name="Rectangles 17">
          <a:extLst>
            <a:ext uri="{FF2B5EF4-FFF2-40B4-BE49-F238E27FC236}">
              <a16:creationId xmlns:a16="http://schemas.microsoft.com/office/drawing/2014/main" id="{E8D1EF7E-3C35-42CA-B88F-65B809C60531}"/>
            </a:ext>
          </a:extLst>
        </xdr:cNvPr>
        <xdr:cNvSpPr/>
      </xdr:nvSpPr>
      <xdr:spPr>
        <a:xfrm>
          <a:off x="14251940" y="2753360"/>
          <a:ext cx="1212215" cy="37274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Online data corruption</a:t>
          </a:r>
        </a:p>
      </xdr:txBody>
    </xdr:sp>
    <xdr:clientData/>
  </xdr:twoCellAnchor>
  <xdr:twoCellAnchor>
    <xdr:from>
      <xdr:col>16</xdr:col>
      <xdr:colOff>175260</xdr:colOff>
      <xdr:row>15</xdr:row>
      <xdr:rowOff>15240</xdr:rowOff>
    </xdr:from>
    <xdr:to>
      <xdr:col>18</xdr:col>
      <xdr:colOff>168275</xdr:colOff>
      <xdr:row>17</xdr:row>
      <xdr:rowOff>6350</xdr:rowOff>
    </xdr:to>
    <xdr:sp macro="" textlink="">
      <xdr:nvSpPr>
        <xdr:cNvPr id="17" name="Rectangles 18">
          <a:extLst>
            <a:ext uri="{FF2B5EF4-FFF2-40B4-BE49-F238E27FC236}">
              <a16:creationId xmlns:a16="http://schemas.microsoft.com/office/drawing/2014/main" id="{FBBE85BA-B774-494E-8345-A56327C18245}"/>
            </a:ext>
          </a:extLst>
        </xdr:cNvPr>
        <xdr:cNvSpPr/>
      </xdr:nvSpPr>
      <xdr:spPr>
        <a:xfrm>
          <a:off x="12725400" y="2758440"/>
          <a:ext cx="1212215" cy="35687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Offline data not updated</a:t>
          </a:r>
        </a:p>
      </xdr:txBody>
    </xdr:sp>
    <xdr:clientData/>
  </xdr:twoCellAnchor>
  <xdr:twoCellAnchor>
    <xdr:from>
      <xdr:col>20</xdr:col>
      <xdr:colOff>22860</xdr:colOff>
      <xdr:row>20</xdr:row>
      <xdr:rowOff>0</xdr:rowOff>
    </xdr:from>
    <xdr:to>
      <xdr:col>22</xdr:col>
      <xdr:colOff>15875</xdr:colOff>
      <xdr:row>21</xdr:row>
      <xdr:rowOff>181610</xdr:rowOff>
    </xdr:to>
    <xdr:sp macro="" textlink="">
      <xdr:nvSpPr>
        <xdr:cNvPr id="18" name="Rectangles 19">
          <a:extLst>
            <a:ext uri="{FF2B5EF4-FFF2-40B4-BE49-F238E27FC236}">
              <a16:creationId xmlns:a16="http://schemas.microsoft.com/office/drawing/2014/main" id="{C8773236-6E27-4F1B-8B90-BE5F15234568}"/>
            </a:ext>
          </a:extLst>
        </xdr:cNvPr>
        <xdr:cNvSpPr/>
      </xdr:nvSpPr>
      <xdr:spPr>
        <a:xfrm>
          <a:off x="15011400" y="3657600"/>
          <a:ext cx="1334135" cy="364490"/>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Incompatibility between online data format and system parser</a:t>
          </a:r>
        </a:p>
      </xdr:txBody>
    </xdr:sp>
    <xdr:clientData/>
  </xdr:twoCellAnchor>
  <xdr:twoCellAnchor>
    <xdr:from>
      <xdr:col>17</xdr:col>
      <xdr:colOff>203200</xdr:colOff>
      <xdr:row>19</xdr:row>
      <xdr:rowOff>180340</xdr:rowOff>
    </xdr:from>
    <xdr:to>
      <xdr:col>19</xdr:col>
      <xdr:colOff>196215</xdr:colOff>
      <xdr:row>22</xdr:row>
      <xdr:rowOff>4445</xdr:rowOff>
    </xdr:to>
    <xdr:sp macro="" textlink="">
      <xdr:nvSpPr>
        <xdr:cNvPr id="19" name="Rectangles 20">
          <a:extLst>
            <a:ext uri="{FF2B5EF4-FFF2-40B4-BE49-F238E27FC236}">
              <a16:creationId xmlns:a16="http://schemas.microsoft.com/office/drawing/2014/main" id="{17EDA16B-1176-4291-863A-841924F81750}"/>
            </a:ext>
          </a:extLst>
        </xdr:cNvPr>
        <xdr:cNvSpPr/>
      </xdr:nvSpPr>
      <xdr:spPr>
        <a:xfrm>
          <a:off x="13362940" y="3655060"/>
          <a:ext cx="1212215" cy="372745"/>
        </a:xfrm>
        <a:prstGeom prst="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GB" altLang="en-US" sz="800"/>
            <a:t>Server data corruption</a:t>
          </a:r>
        </a:p>
      </xdr:txBody>
    </xdr:sp>
    <xdr:clientData/>
  </xdr:twoCellAnchor>
  <xdr:twoCellAnchor>
    <xdr:from>
      <xdr:col>18</xdr:col>
      <xdr:colOff>169862</xdr:colOff>
      <xdr:row>12</xdr:row>
      <xdr:rowOff>77152</xdr:rowOff>
    </xdr:from>
    <xdr:to>
      <xdr:col>18</xdr:col>
      <xdr:colOff>503872</xdr:colOff>
      <xdr:row>13</xdr:row>
      <xdr:rowOff>93027</xdr:rowOff>
    </xdr:to>
    <xdr:sp macro="" textlink="">
      <xdr:nvSpPr>
        <xdr:cNvPr id="20" name="Flowchart: Delay 19">
          <a:extLst>
            <a:ext uri="{FF2B5EF4-FFF2-40B4-BE49-F238E27FC236}">
              <a16:creationId xmlns:a16="http://schemas.microsoft.com/office/drawing/2014/main" id="{B08F2C37-5B52-4802-BF2D-92F10AEE9A76}"/>
            </a:ext>
          </a:extLst>
        </xdr:cNvPr>
        <xdr:cNvSpPr/>
      </xdr:nvSpPr>
      <xdr:spPr>
        <a:xfrm rot="16200000">
          <a:off x="14006829" y="2204085"/>
          <a:ext cx="198755" cy="334010"/>
        </a:xfrm>
        <a:prstGeom prst="flowChartDelay">
          <a:avLst/>
        </a:prstGeom>
        <a:solidFill>
          <a:srgbClr val="FF0000"/>
        </a:solidFill>
        <a:ln w="19050">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scene3d>
            <a:camera prst="orthographicFront">
              <a:rot lat="0" lon="0" rev="16200000"/>
            </a:camera>
            <a:lightRig rig="threePt" dir="t"/>
          </a:scene3d>
        </a:bodyP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en-GB" sz="700" b="1">
            <a:solidFill>
              <a:schemeClr val="tx1"/>
            </a:solidFill>
          </a:endParaRPr>
        </a:p>
      </xdr:txBody>
    </xdr:sp>
    <xdr:clientData/>
  </xdr:twoCellAnchor>
  <xdr:twoCellAnchor>
    <xdr:from>
      <xdr:col>13</xdr:col>
      <xdr:colOff>387350</xdr:colOff>
      <xdr:row>7</xdr:row>
      <xdr:rowOff>36830</xdr:rowOff>
    </xdr:from>
    <xdr:to>
      <xdr:col>14</xdr:col>
      <xdr:colOff>204470</xdr:colOff>
      <xdr:row>8</xdr:row>
      <xdr:rowOff>67310</xdr:rowOff>
    </xdr:to>
    <xdr:sp macro="" textlink="">
      <xdr:nvSpPr>
        <xdr:cNvPr id="21" name="Moon 20">
          <a:extLst>
            <a:ext uri="{FF2B5EF4-FFF2-40B4-BE49-F238E27FC236}">
              <a16:creationId xmlns:a16="http://schemas.microsoft.com/office/drawing/2014/main" id="{529E810B-212F-44E5-97C0-161A74217894}"/>
            </a:ext>
          </a:extLst>
        </xdr:cNvPr>
        <xdr:cNvSpPr/>
      </xdr:nvSpPr>
      <xdr:spPr>
        <a:xfrm rot="5400000">
          <a:off x="10941050" y="121031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6</xdr:col>
      <xdr:colOff>217170</xdr:colOff>
      <xdr:row>7</xdr:row>
      <xdr:rowOff>49530</xdr:rowOff>
    </xdr:from>
    <xdr:to>
      <xdr:col>7</xdr:col>
      <xdr:colOff>72390</xdr:colOff>
      <xdr:row>8</xdr:row>
      <xdr:rowOff>49530</xdr:rowOff>
    </xdr:to>
    <xdr:sp macro="" textlink="">
      <xdr:nvSpPr>
        <xdr:cNvPr id="22" name="Moon 21">
          <a:extLst>
            <a:ext uri="{FF2B5EF4-FFF2-40B4-BE49-F238E27FC236}">
              <a16:creationId xmlns:a16="http://schemas.microsoft.com/office/drawing/2014/main" id="{53AB8DC9-27F9-4BEB-B569-FB8B1F571ACF}"/>
            </a:ext>
          </a:extLst>
        </xdr:cNvPr>
        <xdr:cNvSpPr/>
      </xdr:nvSpPr>
      <xdr:spPr>
        <a:xfrm rot="5400000">
          <a:off x="6484620" y="1188720"/>
          <a:ext cx="182880" cy="4648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397510</xdr:colOff>
      <xdr:row>3</xdr:row>
      <xdr:rowOff>24130</xdr:rowOff>
    </xdr:from>
    <xdr:to>
      <xdr:col>14</xdr:col>
      <xdr:colOff>245110</xdr:colOff>
      <xdr:row>4</xdr:row>
      <xdr:rowOff>62230</xdr:rowOff>
    </xdr:to>
    <xdr:sp macro="" textlink="">
      <xdr:nvSpPr>
        <xdr:cNvPr id="23" name="Moon 22">
          <a:extLst>
            <a:ext uri="{FF2B5EF4-FFF2-40B4-BE49-F238E27FC236}">
              <a16:creationId xmlns:a16="http://schemas.microsoft.com/office/drawing/2014/main" id="{F6B5ED38-EC03-4BFC-9634-402DB5E5B7FC}"/>
            </a:ext>
          </a:extLst>
        </xdr:cNvPr>
        <xdr:cNvSpPr/>
      </xdr:nvSpPr>
      <xdr:spPr>
        <a:xfrm rot="5400000">
          <a:off x="10962640" y="454660"/>
          <a:ext cx="220980" cy="45720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14</xdr:col>
      <xdr:colOff>16510</xdr:colOff>
      <xdr:row>3</xdr:row>
      <xdr:rowOff>134620</xdr:rowOff>
    </xdr:from>
    <xdr:to>
      <xdr:col>14</xdr:col>
      <xdr:colOff>30480</xdr:colOff>
      <xdr:row>5</xdr:row>
      <xdr:rowOff>60960</xdr:rowOff>
    </xdr:to>
    <xdr:cxnSp macro="">
      <xdr:nvCxnSpPr>
        <xdr:cNvPr id="24" name="Straight Connector 23">
          <a:extLst>
            <a:ext uri="{FF2B5EF4-FFF2-40B4-BE49-F238E27FC236}">
              <a16:creationId xmlns:a16="http://schemas.microsoft.com/office/drawing/2014/main" id="{E93DEE8C-507C-4B80-9586-F9CBFDD170E6}"/>
            </a:ext>
          </a:extLst>
        </xdr:cNvPr>
        <xdr:cNvCxnSpPr>
          <a:stCxn id="23" idx="3"/>
        </xdr:cNvCxnSpPr>
      </xdr:nvCxnSpPr>
      <xdr:spPr>
        <a:xfrm>
          <a:off x="11073130" y="683260"/>
          <a:ext cx="13970" cy="2921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xdr:col>
      <xdr:colOff>594360</xdr:colOff>
      <xdr:row>9</xdr:row>
      <xdr:rowOff>7620</xdr:rowOff>
    </xdr:from>
    <xdr:to>
      <xdr:col>8</xdr:col>
      <xdr:colOff>0</xdr:colOff>
      <xdr:row>9</xdr:row>
      <xdr:rowOff>22860</xdr:rowOff>
    </xdr:to>
    <xdr:cxnSp macro="">
      <xdr:nvCxnSpPr>
        <xdr:cNvPr id="25" name="Straight Connector 24">
          <a:extLst>
            <a:ext uri="{FF2B5EF4-FFF2-40B4-BE49-F238E27FC236}">
              <a16:creationId xmlns:a16="http://schemas.microsoft.com/office/drawing/2014/main" id="{BD42137D-58C2-4A0B-836B-1CDF795443B9}"/>
            </a:ext>
          </a:extLst>
        </xdr:cNvPr>
        <xdr:cNvCxnSpPr/>
      </xdr:nvCxnSpPr>
      <xdr:spPr>
        <a:xfrm>
          <a:off x="5501640" y="1653540"/>
          <a:ext cx="184404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xdr:col>
      <xdr:colOff>241300</xdr:colOff>
      <xdr:row>14</xdr:row>
      <xdr:rowOff>5080</xdr:rowOff>
    </xdr:from>
    <xdr:to>
      <xdr:col>13</xdr:col>
      <xdr:colOff>363220</xdr:colOff>
      <xdr:row>14</xdr:row>
      <xdr:rowOff>27940</xdr:rowOff>
    </xdr:to>
    <xdr:cxnSp macro="">
      <xdr:nvCxnSpPr>
        <xdr:cNvPr id="26" name="Straight Connector 25">
          <a:extLst>
            <a:ext uri="{FF2B5EF4-FFF2-40B4-BE49-F238E27FC236}">
              <a16:creationId xmlns:a16="http://schemas.microsoft.com/office/drawing/2014/main" id="{E5D66458-FA19-4ED7-8D93-625E7B5C1CF8}"/>
            </a:ext>
          </a:extLst>
        </xdr:cNvPr>
        <xdr:cNvCxnSpPr/>
      </xdr:nvCxnSpPr>
      <xdr:spPr>
        <a:xfrm>
          <a:off x="7586980" y="2565400"/>
          <a:ext cx="3223260" cy="2286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17</xdr:col>
      <xdr:colOff>106680</xdr:colOff>
      <xdr:row>14</xdr:row>
      <xdr:rowOff>0</xdr:rowOff>
    </xdr:from>
    <xdr:to>
      <xdr:col>19</xdr:col>
      <xdr:colOff>533400</xdr:colOff>
      <xdr:row>14</xdr:row>
      <xdr:rowOff>15240</xdr:rowOff>
    </xdr:to>
    <xdr:cxnSp macro="">
      <xdr:nvCxnSpPr>
        <xdr:cNvPr id="27" name="Straight Connector 26">
          <a:extLst>
            <a:ext uri="{FF2B5EF4-FFF2-40B4-BE49-F238E27FC236}">
              <a16:creationId xmlns:a16="http://schemas.microsoft.com/office/drawing/2014/main" id="{17D1567B-4D6D-4233-8DB0-ABC711BA8FCB}"/>
            </a:ext>
          </a:extLst>
        </xdr:cNvPr>
        <xdr:cNvCxnSpPr/>
      </xdr:nvCxnSpPr>
      <xdr:spPr>
        <a:xfrm>
          <a:off x="13266420" y="2560320"/>
          <a:ext cx="164592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177800</xdr:colOff>
      <xdr:row>19</xdr:row>
      <xdr:rowOff>3175</xdr:rowOff>
    </xdr:from>
    <xdr:to>
      <xdr:col>21</xdr:col>
      <xdr:colOff>53975</xdr:colOff>
      <xdr:row>19</xdr:row>
      <xdr:rowOff>19050</xdr:rowOff>
    </xdr:to>
    <xdr:cxnSp macro="">
      <xdr:nvCxnSpPr>
        <xdr:cNvPr id="28" name="Straight Connector 27">
          <a:extLst>
            <a:ext uri="{FF2B5EF4-FFF2-40B4-BE49-F238E27FC236}">
              <a16:creationId xmlns:a16="http://schemas.microsoft.com/office/drawing/2014/main" id="{D2BA401D-06D8-4F6B-93DC-DF8855B12FD4}"/>
            </a:ext>
          </a:extLst>
        </xdr:cNvPr>
        <xdr:cNvCxnSpPr/>
      </xdr:nvCxnSpPr>
      <xdr:spPr>
        <a:xfrm>
          <a:off x="13947140" y="3477895"/>
          <a:ext cx="1826895" cy="15875"/>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311150</xdr:colOff>
      <xdr:row>9</xdr:row>
      <xdr:rowOff>13335</xdr:rowOff>
    </xdr:from>
    <xdr:to>
      <xdr:col>21</xdr:col>
      <xdr:colOff>288290</xdr:colOff>
      <xdr:row>9</xdr:row>
      <xdr:rowOff>18415</xdr:rowOff>
    </xdr:to>
    <xdr:cxnSp macro="">
      <xdr:nvCxnSpPr>
        <xdr:cNvPr id="29" name="Straight Connector 28">
          <a:extLst>
            <a:ext uri="{FF2B5EF4-FFF2-40B4-BE49-F238E27FC236}">
              <a16:creationId xmlns:a16="http://schemas.microsoft.com/office/drawing/2014/main" id="{8FA2537F-48E1-4E67-B0A0-90B75BBB6AB6}"/>
            </a:ext>
          </a:extLst>
        </xdr:cNvPr>
        <xdr:cNvCxnSpPr/>
      </xdr:nvCxnSpPr>
      <xdr:spPr>
        <a:xfrm flipV="1">
          <a:off x="14080490" y="1659255"/>
          <a:ext cx="1927860" cy="508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10160</xdr:colOff>
      <xdr:row>9</xdr:row>
      <xdr:rowOff>15240</xdr:rowOff>
    </xdr:from>
    <xdr:to>
      <xdr:col>16</xdr:col>
      <xdr:colOff>22860</xdr:colOff>
      <xdr:row>9</xdr:row>
      <xdr:rowOff>17780</xdr:rowOff>
    </xdr:to>
    <xdr:cxnSp macro="">
      <xdr:nvCxnSpPr>
        <xdr:cNvPr id="30" name="Straight Connector 29">
          <a:extLst>
            <a:ext uri="{FF2B5EF4-FFF2-40B4-BE49-F238E27FC236}">
              <a16:creationId xmlns:a16="http://schemas.microsoft.com/office/drawing/2014/main" id="{90A0C8AB-7C0A-413B-A2FA-22B6280ED3B0}"/>
            </a:ext>
          </a:extLst>
        </xdr:cNvPr>
        <xdr:cNvCxnSpPr/>
      </xdr:nvCxnSpPr>
      <xdr:spPr>
        <a:xfrm flipV="1">
          <a:off x="9237980" y="1661160"/>
          <a:ext cx="3335020" cy="25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426720</xdr:colOff>
      <xdr:row>4</xdr:row>
      <xdr:rowOff>83820</xdr:rowOff>
    </xdr:from>
    <xdr:to>
      <xdr:col>20</xdr:col>
      <xdr:colOff>30480</xdr:colOff>
      <xdr:row>4</xdr:row>
      <xdr:rowOff>99060</xdr:rowOff>
    </xdr:to>
    <xdr:cxnSp macro="">
      <xdr:nvCxnSpPr>
        <xdr:cNvPr id="31" name="Straight Connector 30">
          <a:extLst>
            <a:ext uri="{FF2B5EF4-FFF2-40B4-BE49-F238E27FC236}">
              <a16:creationId xmlns:a16="http://schemas.microsoft.com/office/drawing/2014/main" id="{A962A2C6-3F52-401E-B0A8-8E66929A4DF2}"/>
            </a:ext>
          </a:extLst>
        </xdr:cNvPr>
        <xdr:cNvCxnSpPr/>
      </xdr:nvCxnSpPr>
      <xdr:spPr>
        <a:xfrm>
          <a:off x="6553200" y="815340"/>
          <a:ext cx="8465820" cy="1524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433070</xdr:colOff>
      <xdr:row>4</xdr:row>
      <xdr:rowOff>71120</xdr:rowOff>
    </xdr:from>
    <xdr:to>
      <xdr:col>6</xdr:col>
      <xdr:colOff>434340</xdr:colOff>
      <xdr:row>5</xdr:row>
      <xdr:rowOff>76200</xdr:rowOff>
    </xdr:to>
    <xdr:cxnSp macro="">
      <xdr:nvCxnSpPr>
        <xdr:cNvPr id="32" name="Straight Connector 31">
          <a:extLst>
            <a:ext uri="{FF2B5EF4-FFF2-40B4-BE49-F238E27FC236}">
              <a16:creationId xmlns:a16="http://schemas.microsoft.com/office/drawing/2014/main" id="{B42DC0EC-D5CE-40FA-B952-40A9660B724B}"/>
            </a:ext>
          </a:extLst>
        </xdr:cNvPr>
        <xdr:cNvCxnSpPr/>
      </xdr:nvCxnSpPr>
      <xdr:spPr>
        <a:xfrm>
          <a:off x="6559550" y="802640"/>
          <a:ext cx="1270" cy="18796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20</xdr:col>
      <xdr:colOff>7620</xdr:colOff>
      <xdr:row>4</xdr:row>
      <xdr:rowOff>60960</xdr:rowOff>
    </xdr:from>
    <xdr:to>
      <xdr:col>20</xdr:col>
      <xdr:colOff>7620</xdr:colOff>
      <xdr:row>5</xdr:row>
      <xdr:rowOff>68580</xdr:rowOff>
    </xdr:to>
    <xdr:cxnSp macro="">
      <xdr:nvCxnSpPr>
        <xdr:cNvPr id="33" name="Straight Connector 32">
          <a:extLst>
            <a:ext uri="{FF2B5EF4-FFF2-40B4-BE49-F238E27FC236}">
              <a16:creationId xmlns:a16="http://schemas.microsoft.com/office/drawing/2014/main" id="{EE8B96DF-3910-4CBF-A02B-AC6342DD823A}"/>
            </a:ext>
          </a:extLst>
        </xdr:cNvPr>
        <xdr:cNvCxnSpPr/>
      </xdr:nvCxnSpPr>
      <xdr:spPr>
        <a:xfrm>
          <a:off x="14996160" y="792480"/>
          <a:ext cx="0" cy="1905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184785</xdr:colOff>
      <xdr:row>18</xdr:row>
      <xdr:rowOff>172085</xdr:rowOff>
    </xdr:from>
    <xdr:to>
      <xdr:col>18</xdr:col>
      <xdr:colOff>186055</xdr:colOff>
      <xdr:row>20</xdr:row>
      <xdr:rowOff>52705</xdr:rowOff>
    </xdr:to>
    <xdr:cxnSp macro="">
      <xdr:nvCxnSpPr>
        <xdr:cNvPr id="34" name="Straight Connector 33">
          <a:extLst>
            <a:ext uri="{FF2B5EF4-FFF2-40B4-BE49-F238E27FC236}">
              <a16:creationId xmlns:a16="http://schemas.microsoft.com/office/drawing/2014/main" id="{476600D2-E5EA-42A9-8845-8CA3BFDC1EA3}"/>
            </a:ext>
          </a:extLst>
        </xdr:cNvPr>
        <xdr:cNvCxnSpPr/>
      </xdr:nvCxnSpPr>
      <xdr:spPr>
        <a:xfrm flipH="1">
          <a:off x="13954125" y="346392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8</xdr:col>
      <xdr:colOff>241300</xdr:colOff>
      <xdr:row>14</xdr:row>
      <xdr:rowOff>2540</xdr:rowOff>
    </xdr:from>
    <xdr:to>
      <xdr:col>8</xdr:col>
      <xdr:colOff>242570</xdr:colOff>
      <xdr:row>15</xdr:row>
      <xdr:rowOff>50800</xdr:rowOff>
    </xdr:to>
    <xdr:cxnSp macro="">
      <xdr:nvCxnSpPr>
        <xdr:cNvPr id="35" name="Straight Connector 34">
          <a:extLst>
            <a:ext uri="{FF2B5EF4-FFF2-40B4-BE49-F238E27FC236}">
              <a16:creationId xmlns:a16="http://schemas.microsoft.com/office/drawing/2014/main" id="{B14BE98C-9FE5-429B-B20F-1B46A3565C20}"/>
            </a:ext>
          </a:extLst>
        </xdr:cNvPr>
        <xdr:cNvCxnSpPr/>
      </xdr:nvCxnSpPr>
      <xdr:spPr>
        <a:xfrm flipH="1">
          <a:off x="7586980" y="2562860"/>
          <a:ext cx="1270" cy="23114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594360</xdr:colOff>
      <xdr:row>7</xdr:row>
      <xdr:rowOff>127000</xdr:rowOff>
    </xdr:from>
    <xdr:to>
      <xdr:col>13</xdr:col>
      <xdr:colOff>603250</xdr:colOff>
      <xdr:row>10</xdr:row>
      <xdr:rowOff>30480</xdr:rowOff>
    </xdr:to>
    <xdr:cxnSp macro="">
      <xdr:nvCxnSpPr>
        <xdr:cNvPr id="36" name="Straight Connector 35">
          <a:extLst>
            <a:ext uri="{FF2B5EF4-FFF2-40B4-BE49-F238E27FC236}">
              <a16:creationId xmlns:a16="http://schemas.microsoft.com/office/drawing/2014/main" id="{C0251CA1-915C-4A6E-A1F6-90EB5D3BACD4}"/>
            </a:ext>
          </a:extLst>
        </xdr:cNvPr>
        <xdr:cNvCxnSpPr/>
      </xdr:nvCxnSpPr>
      <xdr:spPr>
        <a:xfrm flipH="1">
          <a:off x="11041380" y="1407160"/>
          <a:ext cx="8890" cy="4521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13</xdr:col>
      <xdr:colOff>342900</xdr:colOff>
      <xdr:row>14</xdr:row>
      <xdr:rowOff>40640</xdr:rowOff>
    </xdr:from>
    <xdr:to>
      <xdr:col>13</xdr:col>
      <xdr:colOff>356870</xdr:colOff>
      <xdr:row>15</xdr:row>
      <xdr:rowOff>106680</xdr:rowOff>
    </xdr:to>
    <xdr:cxnSp macro="">
      <xdr:nvCxnSpPr>
        <xdr:cNvPr id="37" name="Straight Connector 36">
          <a:extLst>
            <a:ext uri="{FF2B5EF4-FFF2-40B4-BE49-F238E27FC236}">
              <a16:creationId xmlns:a16="http://schemas.microsoft.com/office/drawing/2014/main" id="{B5106A54-EB16-4D3F-B801-0B53C7AEAF5B}"/>
            </a:ext>
          </a:extLst>
        </xdr:cNvPr>
        <xdr:cNvCxnSpPr/>
      </xdr:nvCxnSpPr>
      <xdr:spPr>
        <a:xfrm flipH="1">
          <a:off x="10789920" y="2600960"/>
          <a:ext cx="13970" cy="2489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10</xdr:col>
      <xdr:colOff>556260</xdr:colOff>
      <xdr:row>12</xdr:row>
      <xdr:rowOff>152400</xdr:rowOff>
    </xdr:from>
    <xdr:to>
      <xdr:col>10</xdr:col>
      <xdr:colOff>560070</xdr:colOff>
      <xdr:row>15</xdr:row>
      <xdr:rowOff>99060</xdr:rowOff>
    </xdr:to>
    <xdr:cxnSp macro="">
      <xdr:nvCxnSpPr>
        <xdr:cNvPr id="38" name="Straight Connector 37">
          <a:extLst>
            <a:ext uri="{FF2B5EF4-FFF2-40B4-BE49-F238E27FC236}">
              <a16:creationId xmlns:a16="http://schemas.microsoft.com/office/drawing/2014/main" id="{DCC77CDB-67FB-4660-93F8-8711F82FDB3E}"/>
            </a:ext>
          </a:extLst>
        </xdr:cNvPr>
        <xdr:cNvCxnSpPr/>
      </xdr:nvCxnSpPr>
      <xdr:spPr>
        <a:xfrm flipH="1">
          <a:off x="9121140" y="2346960"/>
          <a:ext cx="3810" cy="4953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15240</xdr:colOff>
      <xdr:row>9</xdr:row>
      <xdr:rowOff>12700</xdr:rowOff>
    </xdr:from>
    <xdr:to>
      <xdr:col>11</xdr:col>
      <xdr:colOff>31750</xdr:colOff>
      <xdr:row>10</xdr:row>
      <xdr:rowOff>60960</xdr:rowOff>
    </xdr:to>
    <xdr:cxnSp macro="">
      <xdr:nvCxnSpPr>
        <xdr:cNvPr id="39" name="Straight Connector 38">
          <a:extLst>
            <a:ext uri="{FF2B5EF4-FFF2-40B4-BE49-F238E27FC236}">
              <a16:creationId xmlns:a16="http://schemas.microsoft.com/office/drawing/2014/main" id="{117BCC32-0772-41BF-8E11-3F9ABEFA435C}"/>
            </a:ext>
          </a:extLst>
        </xdr:cNvPr>
        <xdr:cNvCxnSpPr/>
      </xdr:nvCxnSpPr>
      <xdr:spPr>
        <a:xfrm flipH="1">
          <a:off x="9243060" y="1658620"/>
          <a:ext cx="16510" cy="23114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16</xdr:col>
      <xdr:colOff>13970</xdr:colOff>
      <xdr:row>9</xdr:row>
      <xdr:rowOff>17780</xdr:rowOff>
    </xdr:from>
    <xdr:to>
      <xdr:col>16</xdr:col>
      <xdr:colOff>15240</xdr:colOff>
      <xdr:row>10</xdr:row>
      <xdr:rowOff>45720</xdr:rowOff>
    </xdr:to>
    <xdr:cxnSp macro="">
      <xdr:nvCxnSpPr>
        <xdr:cNvPr id="40" name="Straight Connector 39">
          <a:extLst>
            <a:ext uri="{FF2B5EF4-FFF2-40B4-BE49-F238E27FC236}">
              <a16:creationId xmlns:a16="http://schemas.microsoft.com/office/drawing/2014/main" id="{558E8EF2-CE6A-4A27-9BA3-3E57D9A0F658}"/>
            </a:ext>
          </a:extLst>
        </xdr:cNvPr>
        <xdr:cNvCxnSpPr/>
      </xdr:nvCxnSpPr>
      <xdr:spPr>
        <a:xfrm>
          <a:off x="12564110" y="1663700"/>
          <a:ext cx="1270" cy="2108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445770</xdr:colOff>
      <xdr:row>7</xdr:row>
      <xdr:rowOff>137160</xdr:rowOff>
    </xdr:from>
    <xdr:to>
      <xdr:col>6</xdr:col>
      <xdr:colOff>457200</xdr:colOff>
      <xdr:row>9</xdr:row>
      <xdr:rowOff>7620</xdr:rowOff>
    </xdr:to>
    <xdr:cxnSp macro="">
      <xdr:nvCxnSpPr>
        <xdr:cNvPr id="41" name="Straight Connector 40">
          <a:extLst>
            <a:ext uri="{FF2B5EF4-FFF2-40B4-BE49-F238E27FC236}">
              <a16:creationId xmlns:a16="http://schemas.microsoft.com/office/drawing/2014/main" id="{B816C57B-5135-4DAF-97FC-0ADE276ED4C9}"/>
            </a:ext>
          </a:extLst>
        </xdr:cNvPr>
        <xdr:cNvCxnSpPr/>
      </xdr:nvCxnSpPr>
      <xdr:spPr>
        <a:xfrm>
          <a:off x="6572250" y="1417320"/>
          <a:ext cx="11430" cy="23622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8890</xdr:colOff>
      <xdr:row>9</xdr:row>
      <xdr:rowOff>20320</xdr:rowOff>
    </xdr:from>
    <xdr:to>
      <xdr:col>5</xdr:col>
      <xdr:colOff>22860</xdr:colOff>
      <xdr:row>10</xdr:row>
      <xdr:rowOff>38100</xdr:rowOff>
    </xdr:to>
    <xdr:cxnSp macro="">
      <xdr:nvCxnSpPr>
        <xdr:cNvPr id="42" name="Straight Connector 41">
          <a:extLst>
            <a:ext uri="{FF2B5EF4-FFF2-40B4-BE49-F238E27FC236}">
              <a16:creationId xmlns:a16="http://schemas.microsoft.com/office/drawing/2014/main" id="{B31AFC04-7EFC-4926-A5B6-9B953368693C}"/>
            </a:ext>
          </a:extLst>
        </xdr:cNvPr>
        <xdr:cNvCxnSpPr/>
      </xdr:nvCxnSpPr>
      <xdr:spPr>
        <a:xfrm>
          <a:off x="5525770" y="1666240"/>
          <a:ext cx="13970" cy="20066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608330</xdr:colOff>
      <xdr:row>9</xdr:row>
      <xdr:rowOff>25400</xdr:rowOff>
    </xdr:from>
    <xdr:to>
      <xdr:col>8</xdr:col>
      <xdr:colOff>0</xdr:colOff>
      <xdr:row>10</xdr:row>
      <xdr:rowOff>7620</xdr:rowOff>
    </xdr:to>
    <xdr:cxnSp macro="">
      <xdr:nvCxnSpPr>
        <xdr:cNvPr id="43" name="Straight Connector 42">
          <a:extLst>
            <a:ext uri="{FF2B5EF4-FFF2-40B4-BE49-F238E27FC236}">
              <a16:creationId xmlns:a16="http://schemas.microsoft.com/office/drawing/2014/main" id="{0B1A2502-392B-40FE-880D-BE60604E08A9}"/>
            </a:ext>
          </a:extLst>
        </xdr:cNvPr>
        <xdr:cNvCxnSpPr/>
      </xdr:nvCxnSpPr>
      <xdr:spPr>
        <a:xfrm>
          <a:off x="7344410" y="1671320"/>
          <a:ext cx="1270" cy="16510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400050</xdr:colOff>
      <xdr:row>7</xdr:row>
      <xdr:rowOff>41910</xdr:rowOff>
    </xdr:from>
    <xdr:to>
      <xdr:col>20</xdr:col>
      <xdr:colOff>217170</xdr:colOff>
      <xdr:row>8</xdr:row>
      <xdr:rowOff>72390</xdr:rowOff>
    </xdr:to>
    <xdr:sp macro="" textlink="">
      <xdr:nvSpPr>
        <xdr:cNvPr id="44" name="Moon 43">
          <a:extLst>
            <a:ext uri="{FF2B5EF4-FFF2-40B4-BE49-F238E27FC236}">
              <a16:creationId xmlns:a16="http://schemas.microsoft.com/office/drawing/2014/main" id="{011553F3-0A9D-4B11-A9DB-946165AD1430}"/>
            </a:ext>
          </a:extLst>
        </xdr:cNvPr>
        <xdr:cNvSpPr/>
      </xdr:nvSpPr>
      <xdr:spPr>
        <a:xfrm rot="5400000">
          <a:off x="14885670" y="121539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10</xdr:col>
      <xdr:colOff>336550</xdr:colOff>
      <xdr:row>12</xdr:row>
      <xdr:rowOff>31750</xdr:rowOff>
    </xdr:from>
    <xdr:to>
      <xdr:col>11</xdr:col>
      <xdr:colOff>153670</xdr:colOff>
      <xdr:row>13</xdr:row>
      <xdr:rowOff>62230</xdr:rowOff>
    </xdr:to>
    <xdr:sp macro="" textlink="">
      <xdr:nvSpPr>
        <xdr:cNvPr id="45" name="Moon 44">
          <a:extLst>
            <a:ext uri="{FF2B5EF4-FFF2-40B4-BE49-F238E27FC236}">
              <a16:creationId xmlns:a16="http://schemas.microsoft.com/office/drawing/2014/main" id="{AD9E81B5-2263-4BA8-9CB3-61550D530D52}"/>
            </a:ext>
          </a:extLst>
        </xdr:cNvPr>
        <xdr:cNvSpPr/>
      </xdr:nvSpPr>
      <xdr:spPr>
        <a:xfrm rot="5400000">
          <a:off x="9034780" y="2092960"/>
          <a:ext cx="213360" cy="48006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19</xdr:col>
      <xdr:colOff>219710</xdr:colOff>
      <xdr:row>17</xdr:row>
      <xdr:rowOff>29210</xdr:rowOff>
    </xdr:from>
    <xdr:to>
      <xdr:col>20</xdr:col>
      <xdr:colOff>36830</xdr:colOff>
      <xdr:row>18</xdr:row>
      <xdr:rowOff>59690</xdr:rowOff>
    </xdr:to>
    <xdr:sp macro="" textlink="">
      <xdr:nvSpPr>
        <xdr:cNvPr id="46" name="Moon 45">
          <a:extLst>
            <a:ext uri="{FF2B5EF4-FFF2-40B4-BE49-F238E27FC236}">
              <a16:creationId xmlns:a16="http://schemas.microsoft.com/office/drawing/2014/main" id="{3E6F9655-E88F-4992-BE1E-952DB62A3739}"/>
            </a:ext>
          </a:extLst>
        </xdr:cNvPr>
        <xdr:cNvSpPr/>
      </xdr:nvSpPr>
      <xdr:spPr>
        <a:xfrm rot="5400000">
          <a:off x="14705330" y="3031490"/>
          <a:ext cx="213360" cy="426720"/>
        </a:xfrm>
        <a:prstGeom prst="moon">
          <a:avLst/>
        </a:prstGeom>
        <a:solidFill>
          <a:srgbClr val="FF0000"/>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19</xdr:col>
      <xdr:colOff>532765</xdr:colOff>
      <xdr:row>14</xdr:row>
      <xdr:rowOff>21590</xdr:rowOff>
    </xdr:from>
    <xdr:to>
      <xdr:col>19</xdr:col>
      <xdr:colOff>534035</xdr:colOff>
      <xdr:row>15</xdr:row>
      <xdr:rowOff>85090</xdr:rowOff>
    </xdr:to>
    <xdr:cxnSp macro="">
      <xdr:nvCxnSpPr>
        <xdr:cNvPr id="47" name="Straight Connector 46">
          <a:extLst>
            <a:ext uri="{FF2B5EF4-FFF2-40B4-BE49-F238E27FC236}">
              <a16:creationId xmlns:a16="http://schemas.microsoft.com/office/drawing/2014/main" id="{5F2B0FEE-BA15-4CEB-B8BF-C336F423B54E}"/>
            </a:ext>
          </a:extLst>
        </xdr:cNvPr>
        <xdr:cNvCxnSpPr/>
      </xdr:nvCxnSpPr>
      <xdr:spPr>
        <a:xfrm flipH="1">
          <a:off x="14911705" y="258191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598170</xdr:colOff>
      <xdr:row>7</xdr:row>
      <xdr:rowOff>143510</xdr:rowOff>
    </xdr:from>
    <xdr:to>
      <xdr:col>19</xdr:col>
      <xdr:colOff>599440</xdr:colOff>
      <xdr:row>9</xdr:row>
      <xdr:rowOff>24130</xdr:rowOff>
    </xdr:to>
    <xdr:cxnSp macro="">
      <xdr:nvCxnSpPr>
        <xdr:cNvPr id="48" name="Straight Connector 47">
          <a:extLst>
            <a:ext uri="{FF2B5EF4-FFF2-40B4-BE49-F238E27FC236}">
              <a16:creationId xmlns:a16="http://schemas.microsoft.com/office/drawing/2014/main" id="{29A89425-F381-45BC-8964-ABED838C9701}"/>
            </a:ext>
          </a:extLst>
        </xdr:cNvPr>
        <xdr:cNvCxnSpPr/>
      </xdr:nvCxnSpPr>
      <xdr:spPr>
        <a:xfrm flipH="1">
          <a:off x="14977110" y="142367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19</xdr:col>
      <xdr:colOff>427355</xdr:colOff>
      <xdr:row>17</xdr:row>
      <xdr:rowOff>142875</xdr:rowOff>
    </xdr:from>
    <xdr:to>
      <xdr:col>19</xdr:col>
      <xdr:colOff>428625</xdr:colOff>
      <xdr:row>19</xdr:row>
      <xdr:rowOff>23495</xdr:rowOff>
    </xdr:to>
    <xdr:cxnSp macro="">
      <xdr:nvCxnSpPr>
        <xdr:cNvPr id="49" name="Straight Connector 48">
          <a:extLst>
            <a:ext uri="{FF2B5EF4-FFF2-40B4-BE49-F238E27FC236}">
              <a16:creationId xmlns:a16="http://schemas.microsoft.com/office/drawing/2014/main" id="{4058E716-C0AF-4704-A2C9-A3BC48118FB7}"/>
            </a:ext>
          </a:extLst>
        </xdr:cNvPr>
        <xdr:cNvCxnSpPr/>
      </xdr:nvCxnSpPr>
      <xdr:spPr>
        <a:xfrm flipH="1">
          <a:off x="14806295" y="325183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59055</xdr:colOff>
      <xdr:row>19</xdr:row>
      <xdr:rowOff>10160</xdr:rowOff>
    </xdr:from>
    <xdr:to>
      <xdr:col>21</xdr:col>
      <xdr:colOff>60325</xdr:colOff>
      <xdr:row>20</xdr:row>
      <xdr:rowOff>73660</xdr:rowOff>
    </xdr:to>
    <xdr:cxnSp macro="">
      <xdr:nvCxnSpPr>
        <xdr:cNvPr id="50" name="Straight Connector 49">
          <a:extLst>
            <a:ext uri="{FF2B5EF4-FFF2-40B4-BE49-F238E27FC236}">
              <a16:creationId xmlns:a16="http://schemas.microsoft.com/office/drawing/2014/main" id="{19B899AA-31BB-4440-A678-4927C9BB86C2}"/>
            </a:ext>
          </a:extLst>
        </xdr:cNvPr>
        <xdr:cNvCxnSpPr/>
      </xdr:nvCxnSpPr>
      <xdr:spPr>
        <a:xfrm flipH="1">
          <a:off x="15779115" y="348488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17</xdr:col>
      <xdr:colOff>119380</xdr:colOff>
      <xdr:row>13</xdr:row>
      <xdr:rowOff>180975</xdr:rowOff>
    </xdr:from>
    <xdr:to>
      <xdr:col>17</xdr:col>
      <xdr:colOff>120650</xdr:colOff>
      <xdr:row>15</xdr:row>
      <xdr:rowOff>61595</xdr:rowOff>
    </xdr:to>
    <xdr:cxnSp macro="">
      <xdr:nvCxnSpPr>
        <xdr:cNvPr id="51" name="Straight Connector 50">
          <a:extLst>
            <a:ext uri="{FF2B5EF4-FFF2-40B4-BE49-F238E27FC236}">
              <a16:creationId xmlns:a16="http://schemas.microsoft.com/office/drawing/2014/main" id="{B4489E02-2A7E-46F7-83DD-2982CF462E1B}"/>
            </a:ext>
          </a:extLst>
        </xdr:cNvPr>
        <xdr:cNvCxnSpPr/>
      </xdr:nvCxnSpPr>
      <xdr:spPr>
        <a:xfrm flipH="1">
          <a:off x="13279120" y="255841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332105</xdr:colOff>
      <xdr:row>13</xdr:row>
      <xdr:rowOff>87630</xdr:rowOff>
    </xdr:from>
    <xdr:to>
      <xdr:col>18</xdr:col>
      <xdr:colOff>341630</xdr:colOff>
      <xdr:row>14</xdr:row>
      <xdr:rowOff>24765</xdr:rowOff>
    </xdr:to>
    <xdr:cxnSp macro="">
      <xdr:nvCxnSpPr>
        <xdr:cNvPr id="52" name="Straight Connector 51">
          <a:extLst>
            <a:ext uri="{FF2B5EF4-FFF2-40B4-BE49-F238E27FC236}">
              <a16:creationId xmlns:a16="http://schemas.microsoft.com/office/drawing/2014/main" id="{B3503822-5419-4055-9892-90C571A18EA4}"/>
            </a:ext>
          </a:extLst>
        </xdr:cNvPr>
        <xdr:cNvCxnSpPr/>
      </xdr:nvCxnSpPr>
      <xdr:spPr>
        <a:xfrm>
          <a:off x="14101445" y="2465070"/>
          <a:ext cx="9525" cy="120015"/>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18</xdr:col>
      <xdr:colOff>314960</xdr:colOff>
      <xdr:row>9</xdr:row>
      <xdr:rowOff>12700</xdr:rowOff>
    </xdr:from>
    <xdr:to>
      <xdr:col>18</xdr:col>
      <xdr:colOff>316230</xdr:colOff>
      <xdr:row>10</xdr:row>
      <xdr:rowOff>76200</xdr:rowOff>
    </xdr:to>
    <xdr:cxnSp macro="">
      <xdr:nvCxnSpPr>
        <xdr:cNvPr id="53" name="Straight Connector 52">
          <a:extLst>
            <a:ext uri="{FF2B5EF4-FFF2-40B4-BE49-F238E27FC236}">
              <a16:creationId xmlns:a16="http://schemas.microsoft.com/office/drawing/2014/main" id="{F06EB2E4-85D7-4510-A00C-7EDFCAAB53A5}"/>
            </a:ext>
          </a:extLst>
        </xdr:cNvPr>
        <xdr:cNvCxnSpPr/>
      </xdr:nvCxnSpPr>
      <xdr:spPr>
        <a:xfrm flipH="1">
          <a:off x="14084300" y="1658620"/>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283845</xdr:colOff>
      <xdr:row>9</xdr:row>
      <xdr:rowOff>20955</xdr:rowOff>
    </xdr:from>
    <xdr:to>
      <xdr:col>21</xdr:col>
      <xdr:colOff>285115</xdr:colOff>
      <xdr:row>10</xdr:row>
      <xdr:rowOff>84455</xdr:rowOff>
    </xdr:to>
    <xdr:cxnSp macro="">
      <xdr:nvCxnSpPr>
        <xdr:cNvPr id="54" name="Straight Connector 53">
          <a:extLst>
            <a:ext uri="{FF2B5EF4-FFF2-40B4-BE49-F238E27FC236}">
              <a16:creationId xmlns:a16="http://schemas.microsoft.com/office/drawing/2014/main" id="{3EEE3254-E55E-4D46-8F4D-DE0F4B13C307}"/>
            </a:ext>
          </a:extLst>
        </xdr:cNvPr>
        <xdr:cNvCxnSpPr/>
      </xdr:nvCxnSpPr>
      <xdr:spPr>
        <a:xfrm flipH="1">
          <a:off x="16003905" y="1666875"/>
          <a:ext cx="1270" cy="246380"/>
        </a:xfrm>
        <a:prstGeom prst="line">
          <a:avLst/>
        </a:prstGeom>
        <a:ln>
          <a:solidFill>
            <a:sysClr val="windowText" lastClr="000000"/>
          </a:solidFill>
        </a:ln>
      </xdr:spPr>
      <xdr:style>
        <a:lnRef idx="2">
          <a:schemeClr val="accent1"/>
        </a:lnRef>
        <a:fillRef idx="0">
          <a:srgbClr val="FFFFFF"/>
        </a:fillRef>
        <a:effectRef idx="0">
          <a:srgbClr val="FFFFFF"/>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nha/Downloads/jg2569_GaikwadJ_HW5_DecisionM_GQM_AHP_QF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ision Matrix"/>
      <sheetName val="GQM"/>
      <sheetName val="AHP"/>
      <sheetName val="QFD"/>
    </sheetNames>
    <sheetDataSet>
      <sheetData sheetId="0">
        <row r="213">
          <cell r="I213" t="str">
            <v>Iteration 2.1</v>
          </cell>
          <cell r="J213" t="str">
            <v>Iteration 2.2</v>
          </cell>
          <cell r="K213" t="str">
            <v>Iteration 2.3</v>
          </cell>
        </row>
        <row r="214">
          <cell r="H214" t="str">
            <v>Normalised Score</v>
          </cell>
          <cell r="I214">
            <v>0.37941480940202199</v>
          </cell>
          <cell r="J214">
            <v>0.426086956521739</v>
          </cell>
          <cell r="K214">
            <v>0.57016806722689095</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zoomScale="72" workbookViewId="0">
      <selection activeCell="B30" sqref="B30"/>
    </sheetView>
  </sheetViews>
  <sheetFormatPr defaultColWidth="8.88671875" defaultRowHeight="14.4"/>
  <cols>
    <col min="1" max="1" width="27.21875" style="314" customWidth="1"/>
    <col min="2" max="2" width="27.21875" style="315" customWidth="1"/>
    <col min="3" max="3" width="17.44140625" style="314" customWidth="1"/>
    <col min="4" max="4" width="17.44140625" style="315" customWidth="1"/>
    <col min="5" max="5" width="27.109375" style="314" customWidth="1"/>
    <col min="6" max="6" width="18.88671875" style="315" customWidth="1"/>
    <col min="7" max="16384" width="8.88671875" style="314"/>
  </cols>
  <sheetData>
    <row r="1" spans="1:6" ht="52.2" customHeight="1">
      <c r="A1" s="316" t="s">
        <v>0</v>
      </c>
      <c r="B1" s="317" t="s">
        <v>1</v>
      </c>
      <c r="C1" s="318" t="s">
        <v>2</v>
      </c>
      <c r="D1" s="319" t="s">
        <v>3</v>
      </c>
      <c r="E1" s="320" t="s">
        <v>4</v>
      </c>
      <c r="F1" s="321" t="s">
        <v>5</v>
      </c>
    </row>
    <row r="2" spans="1:6">
      <c r="A2" s="609" t="s">
        <v>1029</v>
      </c>
      <c r="B2" s="322">
        <v>3</v>
      </c>
      <c r="C2" s="362" t="s">
        <v>6</v>
      </c>
      <c r="D2" s="358">
        <v>23</v>
      </c>
      <c r="E2" s="614" t="s">
        <v>12</v>
      </c>
      <c r="F2" s="358">
        <v>43</v>
      </c>
    </row>
    <row r="3" spans="1:6">
      <c r="A3" s="616" t="s">
        <v>1030</v>
      </c>
      <c r="B3" s="315">
        <v>3</v>
      </c>
      <c r="C3" s="363"/>
      <c r="D3" s="359"/>
      <c r="E3" s="367"/>
      <c r="F3" s="359"/>
    </row>
    <row r="4" spans="1:6">
      <c r="A4" s="610" t="s">
        <v>1031</v>
      </c>
      <c r="B4" s="315">
        <v>3</v>
      </c>
      <c r="C4" s="363"/>
      <c r="D4" s="359"/>
      <c r="E4" s="367"/>
      <c r="F4" s="359"/>
    </row>
    <row r="5" spans="1:6">
      <c r="A5" s="323" t="s">
        <v>7</v>
      </c>
      <c r="B5" s="315">
        <v>14</v>
      </c>
      <c r="C5" s="363"/>
      <c r="D5" s="359"/>
      <c r="E5" s="367"/>
      <c r="F5" s="359"/>
    </row>
    <row r="6" spans="1:6">
      <c r="A6" s="613" t="s">
        <v>1032</v>
      </c>
      <c r="B6" s="325">
        <v>4</v>
      </c>
      <c r="C6" s="615" t="s">
        <v>1027</v>
      </c>
      <c r="D6" s="360">
        <v>9</v>
      </c>
      <c r="E6" s="367"/>
      <c r="F6" s="359"/>
    </row>
    <row r="7" spans="1:6">
      <c r="A7" s="610" t="s">
        <v>1033</v>
      </c>
      <c r="B7" s="315">
        <v>5</v>
      </c>
      <c r="C7" s="364"/>
      <c r="D7" s="359"/>
      <c r="E7" s="367"/>
      <c r="F7" s="359"/>
    </row>
    <row r="8" spans="1:6">
      <c r="A8" s="613" t="s">
        <v>1034</v>
      </c>
      <c r="B8" s="325">
        <v>10</v>
      </c>
      <c r="C8" s="365" t="s">
        <v>8</v>
      </c>
      <c r="D8" s="360">
        <v>12</v>
      </c>
      <c r="E8" s="367"/>
      <c r="F8" s="359"/>
    </row>
    <row r="9" spans="1:6">
      <c r="A9" s="617" t="s">
        <v>1035</v>
      </c>
      <c r="B9" s="326">
        <v>2</v>
      </c>
      <c r="C9" s="366"/>
      <c r="D9" s="361"/>
      <c r="E9" s="368"/>
      <c r="F9" s="361"/>
    </row>
    <row r="10" spans="1:6">
      <c r="A10" s="609" t="s">
        <v>1024</v>
      </c>
      <c r="B10" s="322">
        <v>3</v>
      </c>
      <c r="C10" s="611" t="s">
        <v>1028</v>
      </c>
      <c r="D10" s="358">
        <v>11</v>
      </c>
      <c r="E10" s="369" t="s">
        <v>9</v>
      </c>
      <c r="F10" s="358">
        <v>32</v>
      </c>
    </row>
    <row r="11" spans="1:6">
      <c r="A11" s="610" t="s">
        <v>1025</v>
      </c>
      <c r="B11" s="315">
        <v>8</v>
      </c>
      <c r="C11" s="349"/>
      <c r="D11" s="359"/>
      <c r="E11" s="370"/>
      <c r="F11" s="359"/>
    </row>
    <row r="12" spans="1:6">
      <c r="A12" s="613" t="s">
        <v>1036</v>
      </c>
      <c r="B12" s="325">
        <v>4</v>
      </c>
      <c r="C12" s="612" t="s">
        <v>1026</v>
      </c>
      <c r="D12" s="360">
        <v>10</v>
      </c>
      <c r="E12" s="370"/>
      <c r="F12" s="359"/>
    </row>
    <row r="13" spans="1:6">
      <c r="A13" s="610" t="s">
        <v>1037</v>
      </c>
      <c r="B13" s="315">
        <v>2</v>
      </c>
      <c r="C13" s="350"/>
      <c r="D13" s="359"/>
      <c r="E13" s="370"/>
      <c r="F13" s="359"/>
    </row>
    <row r="14" spans="1:6">
      <c r="A14" s="323" t="s">
        <v>10</v>
      </c>
      <c r="B14" s="315">
        <v>4</v>
      </c>
      <c r="C14" s="350"/>
      <c r="D14" s="359"/>
      <c r="E14" s="370"/>
      <c r="F14" s="359"/>
    </row>
    <row r="15" spans="1:6">
      <c r="A15" s="324" t="s">
        <v>11</v>
      </c>
      <c r="B15" s="325">
        <v>5</v>
      </c>
      <c r="C15" s="351" t="s">
        <v>12</v>
      </c>
      <c r="D15" s="360">
        <v>11</v>
      </c>
      <c r="E15" s="370"/>
      <c r="F15" s="359"/>
    </row>
    <row r="16" spans="1:6">
      <c r="A16" s="617" t="s">
        <v>1038</v>
      </c>
      <c r="B16" s="326">
        <v>6</v>
      </c>
      <c r="C16" s="352"/>
      <c r="D16" s="361"/>
      <c r="E16" s="371"/>
      <c r="F16" s="361"/>
    </row>
    <row r="17" spans="1:6">
      <c r="A17" s="618" t="s">
        <v>1039</v>
      </c>
      <c r="B17" s="315">
        <v>8</v>
      </c>
      <c r="C17" s="353" t="s">
        <v>13</v>
      </c>
      <c r="D17" s="359">
        <v>11</v>
      </c>
      <c r="E17" s="372" t="s">
        <v>14</v>
      </c>
      <c r="F17" s="359">
        <v>35</v>
      </c>
    </row>
    <row r="18" spans="1:6">
      <c r="A18" s="618" t="s">
        <v>1040</v>
      </c>
      <c r="B18" s="315">
        <v>3</v>
      </c>
      <c r="C18" s="353"/>
      <c r="D18" s="359"/>
      <c r="E18" s="372"/>
      <c r="F18" s="359"/>
    </row>
    <row r="19" spans="1:6">
      <c r="A19" s="619" t="s">
        <v>1041</v>
      </c>
      <c r="B19" s="325">
        <v>6</v>
      </c>
      <c r="C19" s="354" t="s">
        <v>15</v>
      </c>
      <c r="D19" s="360">
        <v>13</v>
      </c>
      <c r="E19" s="372"/>
      <c r="F19" s="359"/>
    </row>
    <row r="20" spans="1:6">
      <c r="A20" s="618" t="s">
        <v>1042</v>
      </c>
      <c r="B20" s="315">
        <v>3</v>
      </c>
      <c r="C20" s="355"/>
      <c r="D20" s="359"/>
      <c r="E20" s="372"/>
      <c r="F20" s="359"/>
    </row>
    <row r="21" spans="1:6">
      <c r="A21" s="618" t="s">
        <v>1043</v>
      </c>
      <c r="B21" s="315">
        <v>4</v>
      </c>
      <c r="C21" s="355"/>
      <c r="D21" s="359"/>
      <c r="E21" s="372"/>
      <c r="F21" s="359"/>
    </row>
    <row r="22" spans="1:6">
      <c r="A22" s="619" t="s">
        <v>1044</v>
      </c>
      <c r="B22" s="325">
        <v>7</v>
      </c>
      <c r="C22" s="356" t="s">
        <v>16</v>
      </c>
      <c r="D22" s="360">
        <v>10</v>
      </c>
      <c r="E22" s="372"/>
      <c r="F22" s="359"/>
    </row>
    <row r="23" spans="1:6">
      <c r="A23" s="620" t="s">
        <v>1045</v>
      </c>
      <c r="B23" s="315">
        <v>2</v>
      </c>
      <c r="C23" s="357"/>
      <c r="D23" s="359"/>
      <c r="E23" s="372"/>
      <c r="F23" s="359"/>
    </row>
    <row r="24" spans="1:6">
      <c r="A24" s="618" t="s">
        <v>1046</v>
      </c>
      <c r="B24" s="315">
        <v>1</v>
      </c>
      <c r="C24" s="357"/>
      <c r="D24" s="359"/>
      <c r="E24" s="372"/>
      <c r="F24" s="359"/>
    </row>
    <row r="25" spans="1:6">
      <c r="A25" s="327" t="s">
        <v>17</v>
      </c>
      <c r="B25" s="328">
        <f t="shared" ref="B25:F25" si="0">SUM(B2:B24)</f>
        <v>110</v>
      </c>
      <c r="C25" s="327"/>
      <c r="D25" s="329">
        <f t="shared" si="0"/>
        <v>110</v>
      </c>
      <c r="E25" s="327"/>
      <c r="F25" s="329">
        <f t="shared" si="0"/>
        <v>110</v>
      </c>
    </row>
  </sheetData>
  <mergeCells count="24">
    <mergeCell ref="E2:E9"/>
    <mergeCell ref="E10:E16"/>
    <mergeCell ref="E17:E24"/>
    <mergeCell ref="F2:F9"/>
    <mergeCell ref="F10:F16"/>
    <mergeCell ref="F17:F24"/>
    <mergeCell ref="C22:C24"/>
    <mergeCell ref="D2:D5"/>
    <mergeCell ref="D6:D7"/>
    <mergeCell ref="D8:D9"/>
    <mergeCell ref="D10:D11"/>
    <mergeCell ref="D12:D14"/>
    <mergeCell ref="D15:D16"/>
    <mergeCell ref="D17:D18"/>
    <mergeCell ref="D19:D21"/>
    <mergeCell ref="D22:D24"/>
    <mergeCell ref="C2:C5"/>
    <mergeCell ref="C6:C7"/>
    <mergeCell ref="C8:C9"/>
    <mergeCell ref="C10:C11"/>
    <mergeCell ref="C12:C14"/>
    <mergeCell ref="C15:C16"/>
    <mergeCell ref="C17:C18"/>
    <mergeCell ref="C19: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workbookViewId="0">
      <selection activeCell="C20" sqref="C20"/>
    </sheetView>
  </sheetViews>
  <sheetFormatPr defaultColWidth="8.88671875" defaultRowHeight="14.4"/>
  <cols>
    <col min="1" max="1" width="65.44140625" style="85" customWidth="1"/>
    <col min="2" max="2" width="8.33203125" style="85" customWidth="1"/>
    <col min="3" max="3" width="8.88671875" style="85"/>
    <col min="4" max="4" width="27" style="85" customWidth="1"/>
    <col min="5" max="5" width="49.33203125" style="85" customWidth="1"/>
    <col min="6" max="16384" width="8.88671875" style="85"/>
  </cols>
  <sheetData>
    <row r="1" spans="1:2">
      <c r="A1" s="312" t="s">
        <v>18</v>
      </c>
      <c r="B1" s="312" t="s">
        <v>19</v>
      </c>
    </row>
    <row r="2" spans="1:2">
      <c r="A2" s="88" t="s">
        <v>20</v>
      </c>
      <c r="B2" s="313" t="s">
        <v>21</v>
      </c>
    </row>
    <row r="3" spans="1:2">
      <c r="A3" s="88" t="s">
        <v>22</v>
      </c>
      <c r="B3" s="313" t="s">
        <v>21</v>
      </c>
    </row>
    <row r="4" spans="1:2">
      <c r="A4" s="88" t="s">
        <v>23</v>
      </c>
      <c r="B4" s="313" t="s">
        <v>21</v>
      </c>
    </row>
    <row r="5" spans="1:2">
      <c r="A5" s="88" t="s">
        <v>24</v>
      </c>
      <c r="B5" s="313" t="s">
        <v>25</v>
      </c>
    </row>
    <row r="6" spans="1:2">
      <c r="A6" s="88" t="s">
        <v>26</v>
      </c>
      <c r="B6" s="313" t="s">
        <v>27</v>
      </c>
    </row>
    <row r="7" spans="1:2">
      <c r="A7" s="88" t="s">
        <v>28</v>
      </c>
      <c r="B7" s="313" t="s">
        <v>27</v>
      </c>
    </row>
    <row r="8" spans="1:2">
      <c r="A8" s="88" t="s">
        <v>29</v>
      </c>
      <c r="B8" s="313" t="s">
        <v>27</v>
      </c>
    </row>
    <row r="9" spans="1:2">
      <c r="A9" s="88" t="s">
        <v>30</v>
      </c>
      <c r="B9" s="313" t="s">
        <v>27</v>
      </c>
    </row>
    <row r="10" spans="1:2">
      <c r="A10" s="88" t="s">
        <v>31</v>
      </c>
      <c r="B10" s="313" t="s">
        <v>21</v>
      </c>
    </row>
    <row r="11" spans="1:2">
      <c r="A11" s="88" t="s">
        <v>32</v>
      </c>
      <c r="B11" s="313" t="s">
        <v>25</v>
      </c>
    </row>
    <row r="12" spans="1:2">
      <c r="A12" s="88" t="s">
        <v>33</v>
      </c>
      <c r="B12" s="313" t="s">
        <v>27</v>
      </c>
    </row>
    <row r="13" spans="1:2">
      <c r="A13" s="88" t="s">
        <v>34</v>
      </c>
      <c r="B13" s="313" t="s">
        <v>25</v>
      </c>
    </row>
    <row r="14" spans="1:2">
      <c r="A14" s="88" t="s">
        <v>35</v>
      </c>
      <c r="B14" s="313" t="s">
        <v>25</v>
      </c>
    </row>
    <row r="15" spans="1:2">
      <c r="A15" s="88" t="s">
        <v>36</v>
      </c>
      <c r="B15" s="313" t="s">
        <v>25</v>
      </c>
    </row>
    <row r="16" spans="1:2">
      <c r="A16" s="88" t="s">
        <v>37</v>
      </c>
      <c r="B16" s="313" t="s">
        <v>27</v>
      </c>
    </row>
    <row r="17" spans="1:2">
      <c r="A17" s="88" t="s">
        <v>38</v>
      </c>
      <c r="B17" s="313" t="s">
        <v>27</v>
      </c>
    </row>
    <row r="18" spans="1:2">
      <c r="A18" s="88" t="s">
        <v>39</v>
      </c>
      <c r="B18" s="313" t="s">
        <v>25</v>
      </c>
    </row>
    <row r="19" spans="1:2">
      <c r="A19" s="88" t="s">
        <v>40</v>
      </c>
      <c r="B19" s="313" t="s">
        <v>21</v>
      </c>
    </row>
    <row r="20" spans="1:2">
      <c r="A20" s="88" t="s">
        <v>41</v>
      </c>
      <c r="B20" s="313" t="s">
        <v>27</v>
      </c>
    </row>
    <row r="21" spans="1:2">
      <c r="A21" s="88" t="s">
        <v>42</v>
      </c>
      <c r="B21" s="313" t="s">
        <v>21</v>
      </c>
    </row>
    <row r="22" spans="1:2">
      <c r="A22" s="88" t="s">
        <v>43</v>
      </c>
      <c r="B22" s="313" t="s">
        <v>21</v>
      </c>
    </row>
    <row r="23" spans="1:2">
      <c r="A23" s="88" t="s">
        <v>44</v>
      </c>
      <c r="B23" s="313" t="s">
        <v>25</v>
      </c>
    </row>
    <row r="24" spans="1:2">
      <c r="A24" s="88" t="s">
        <v>45</v>
      </c>
      <c r="B24" s="313" t="s">
        <v>21</v>
      </c>
    </row>
    <row r="25" spans="1:2">
      <c r="A25" s="88" t="s">
        <v>46</v>
      </c>
      <c r="B25" s="313" t="s">
        <v>21</v>
      </c>
    </row>
    <row r="26" spans="1:2">
      <c r="A26" s="88" t="s">
        <v>47</v>
      </c>
      <c r="B26" s="313" t="s">
        <v>21</v>
      </c>
    </row>
    <row r="27" spans="1:2">
      <c r="A27" s="88" t="s">
        <v>48</v>
      </c>
      <c r="B27" s="313" t="s">
        <v>21</v>
      </c>
    </row>
    <row r="28" spans="1:2">
      <c r="A28" s="88" t="s">
        <v>49</v>
      </c>
      <c r="B28" s="313" t="s">
        <v>21</v>
      </c>
    </row>
    <row r="29" spans="1:2">
      <c r="A29" s="88" t="s">
        <v>50</v>
      </c>
      <c r="B29" s="313"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1"/>
  <sheetViews>
    <sheetView workbookViewId="0">
      <selection sqref="A1:D1"/>
    </sheetView>
  </sheetViews>
  <sheetFormatPr defaultColWidth="8.88671875" defaultRowHeight="14.4"/>
  <cols>
    <col min="1" max="1" width="35.6640625" style="85" customWidth="1"/>
    <col min="2" max="2" width="29" style="85" customWidth="1"/>
    <col min="3" max="3" width="40.44140625" style="85" customWidth="1"/>
    <col min="4" max="4" width="43" style="85" customWidth="1"/>
    <col min="5" max="16384" width="8.88671875" style="85"/>
  </cols>
  <sheetData>
    <row r="1" spans="1:20">
      <c r="A1" s="592" t="s">
        <v>26</v>
      </c>
      <c r="B1" s="380"/>
      <c r="C1" s="380"/>
      <c r="D1" s="381"/>
    </row>
    <row r="2" spans="1:20">
      <c r="A2" s="379" t="s">
        <v>51</v>
      </c>
      <c r="B2" s="380"/>
      <c r="C2" s="380"/>
      <c r="D2" s="381"/>
    </row>
    <row r="3" spans="1:20">
      <c r="A3" s="376" t="s">
        <v>52</v>
      </c>
      <c r="B3" s="377"/>
      <c r="C3" s="377"/>
      <c r="D3" s="378"/>
    </row>
    <row r="4" spans="1:20">
      <c r="A4" s="96" t="s">
        <v>53</v>
      </c>
      <c r="B4" s="96" t="s">
        <v>54</v>
      </c>
      <c r="C4" s="96" t="s">
        <v>55</v>
      </c>
      <c r="D4" s="96" t="s">
        <v>56</v>
      </c>
    </row>
    <row r="5" spans="1:20">
      <c r="A5" s="32" t="s">
        <v>57</v>
      </c>
      <c r="B5" s="32"/>
      <c r="C5" s="32"/>
      <c r="D5" s="32"/>
    </row>
    <row r="6" spans="1:20" ht="28.8">
      <c r="A6" s="32"/>
      <c r="B6" s="32" t="s">
        <v>58</v>
      </c>
      <c r="C6" s="32"/>
      <c r="D6" s="32"/>
    </row>
    <row r="7" spans="1:20" ht="28.8">
      <c r="A7" s="32"/>
      <c r="B7" s="32" t="s">
        <v>59</v>
      </c>
      <c r="C7" s="32"/>
      <c r="D7" s="32"/>
    </row>
    <row r="8" spans="1:20" ht="28.8">
      <c r="A8" s="32"/>
      <c r="B8" s="32"/>
      <c r="C8" s="32" t="s">
        <v>60</v>
      </c>
      <c r="D8" s="32"/>
    </row>
    <row r="9" spans="1:20">
      <c r="A9" s="32" t="s">
        <v>61</v>
      </c>
      <c r="B9" s="32"/>
      <c r="C9" s="32"/>
      <c r="D9" s="32"/>
      <c r="T9" s="85" t="s">
        <v>26</v>
      </c>
    </row>
    <row r="10" spans="1:20" ht="43.2">
      <c r="A10" s="32"/>
      <c r="B10" s="32" t="s">
        <v>62</v>
      </c>
      <c r="C10" s="32"/>
      <c r="D10" s="32"/>
    </row>
    <row r="11" spans="1:20" ht="28.8">
      <c r="A11" s="32"/>
      <c r="B11" s="32"/>
      <c r="C11" s="32"/>
      <c r="D11" s="32" t="s">
        <v>63</v>
      </c>
    </row>
    <row r="12" spans="1:20" ht="43.2">
      <c r="A12" s="32"/>
      <c r="B12" s="32" t="s">
        <v>64</v>
      </c>
      <c r="C12" s="32"/>
      <c r="D12" s="32"/>
    </row>
    <row r="13" spans="1:20" ht="28.8">
      <c r="A13" s="32"/>
      <c r="B13" s="32"/>
      <c r="C13" s="32"/>
      <c r="D13" s="32" t="s">
        <v>65</v>
      </c>
    </row>
    <row r="14" spans="1:20" ht="57.6">
      <c r="A14" s="32"/>
      <c r="B14" s="32" t="s">
        <v>66</v>
      </c>
      <c r="C14" s="32"/>
      <c r="D14" s="32"/>
    </row>
    <row r="15" spans="1:20">
      <c r="A15" s="32"/>
      <c r="B15" s="32"/>
      <c r="C15" s="32" t="s">
        <v>67</v>
      </c>
      <c r="D15" s="32"/>
    </row>
    <row r="16" spans="1:20">
      <c r="A16" s="32" t="s">
        <v>68</v>
      </c>
      <c r="B16" s="32"/>
      <c r="C16" s="32"/>
      <c r="D16" s="32"/>
    </row>
    <row r="17" spans="1:4">
      <c r="A17" s="373" t="s">
        <v>69</v>
      </c>
      <c r="B17" s="374"/>
      <c r="C17" s="374"/>
      <c r="D17" s="375"/>
    </row>
    <row r="18" spans="1:4">
      <c r="A18" s="376" t="s">
        <v>70</v>
      </c>
      <c r="B18" s="377"/>
      <c r="C18" s="377"/>
      <c r="D18" s="378"/>
    </row>
    <row r="19" spans="1:4">
      <c r="A19" s="373" t="s">
        <v>71</v>
      </c>
      <c r="B19" s="374"/>
      <c r="C19" s="374"/>
      <c r="D19" s="375"/>
    </row>
    <row r="20" spans="1:4">
      <c r="A20" s="376" t="s">
        <v>72</v>
      </c>
      <c r="B20" s="377"/>
      <c r="C20" s="377"/>
      <c r="D20" s="378"/>
    </row>
    <row r="21" spans="1:4">
      <c r="A21" s="376" t="s">
        <v>73</v>
      </c>
      <c r="B21" s="377"/>
      <c r="C21" s="377"/>
      <c r="D21" s="378"/>
    </row>
  </sheetData>
  <mergeCells count="8">
    <mergeCell ref="A19:D19"/>
    <mergeCell ref="A20:D20"/>
    <mergeCell ref="A21:D21"/>
    <mergeCell ref="A1:D1"/>
    <mergeCell ref="A2:D2"/>
    <mergeCell ref="A3:D3"/>
    <mergeCell ref="A17:D17"/>
    <mergeCell ref="A18:D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workbookViewId="0">
      <selection activeCell="A4" sqref="A4"/>
    </sheetView>
  </sheetViews>
  <sheetFormatPr defaultColWidth="8.88671875" defaultRowHeight="14.4"/>
  <cols>
    <col min="1" max="1" width="29.6640625" style="89" customWidth="1"/>
    <col min="2" max="2" width="41.109375" style="89" customWidth="1"/>
    <col min="3" max="3" width="37.77734375" style="89" customWidth="1"/>
    <col min="4" max="4" width="45.109375" style="89" customWidth="1"/>
    <col min="5" max="16384" width="8.88671875" style="89"/>
  </cols>
  <sheetData>
    <row r="1" spans="1:4">
      <c r="A1" s="379" t="s">
        <v>30</v>
      </c>
      <c r="B1" s="380"/>
      <c r="C1" s="380"/>
      <c r="D1" s="381"/>
    </row>
    <row r="2" spans="1:4">
      <c r="A2" s="379" t="s">
        <v>74</v>
      </c>
      <c r="B2" s="380"/>
      <c r="C2" s="380"/>
      <c r="D2" s="381"/>
    </row>
    <row r="3" spans="1:4">
      <c r="A3" s="382" t="s">
        <v>75</v>
      </c>
      <c r="B3" s="383"/>
      <c r="C3" s="383"/>
      <c r="D3" s="384"/>
    </row>
    <row r="4" spans="1:4">
      <c r="A4" s="96" t="s">
        <v>53</v>
      </c>
      <c r="B4" s="96" t="s">
        <v>54</v>
      </c>
      <c r="C4" s="96" t="s">
        <v>55</v>
      </c>
      <c r="D4" s="96" t="s">
        <v>56</v>
      </c>
    </row>
    <row r="5" spans="1:4" ht="28.8">
      <c r="A5" s="32" t="s">
        <v>76</v>
      </c>
      <c r="B5" s="32"/>
      <c r="C5" s="32"/>
      <c r="D5" s="32"/>
    </row>
    <row r="6" spans="1:4" ht="28.8">
      <c r="A6" s="32"/>
      <c r="B6" s="32" t="s">
        <v>77</v>
      </c>
      <c r="C6" s="32"/>
      <c r="D6" s="32"/>
    </row>
    <row r="7" spans="1:4" ht="28.8">
      <c r="A7" s="32"/>
      <c r="B7" s="32"/>
      <c r="C7" s="32" t="s">
        <v>78</v>
      </c>
      <c r="D7" s="32"/>
    </row>
    <row r="8" spans="1:4">
      <c r="A8" s="32" t="s">
        <v>61</v>
      </c>
      <c r="B8" s="32"/>
      <c r="C8" s="32"/>
      <c r="D8" s="32"/>
    </row>
    <row r="9" spans="1:4" ht="28.8">
      <c r="A9" s="32"/>
      <c r="B9" s="32" t="s">
        <v>79</v>
      </c>
      <c r="C9" s="32"/>
      <c r="D9" s="32"/>
    </row>
    <row r="10" spans="1:4" ht="28.8">
      <c r="A10" s="32"/>
      <c r="B10" s="32"/>
      <c r="C10" s="32"/>
      <c r="D10" s="32" t="s">
        <v>80</v>
      </c>
    </row>
    <row r="11" spans="1:4" ht="28.8">
      <c r="A11" s="32"/>
      <c r="B11" s="32" t="s">
        <v>81</v>
      </c>
      <c r="C11" s="32"/>
      <c r="D11" s="32"/>
    </row>
    <row r="12" spans="1:4" ht="28.8">
      <c r="A12" s="32"/>
      <c r="B12" s="32"/>
      <c r="C12" s="32"/>
      <c r="D12" s="32" t="s">
        <v>82</v>
      </c>
    </row>
    <row r="13" spans="1:4" ht="28.8">
      <c r="A13" s="32"/>
      <c r="B13" s="32" t="s">
        <v>62</v>
      </c>
      <c r="C13" s="32"/>
      <c r="D13" s="32"/>
    </row>
    <row r="14" spans="1:4" ht="28.8">
      <c r="A14" s="32"/>
      <c r="B14" s="32"/>
      <c r="C14" s="32"/>
      <c r="D14" s="32" t="s">
        <v>83</v>
      </c>
    </row>
    <row r="15" spans="1:4" ht="28.8">
      <c r="A15" s="32"/>
      <c r="B15" s="32" t="s">
        <v>64</v>
      </c>
      <c r="C15" s="32"/>
      <c r="D15" s="32"/>
    </row>
    <row r="16" spans="1:4" ht="28.8">
      <c r="A16" s="32"/>
      <c r="B16" s="32"/>
      <c r="C16" s="32"/>
      <c r="D16" s="32" t="s">
        <v>84</v>
      </c>
    </row>
    <row r="17" spans="1:4" ht="28.8">
      <c r="A17" s="32"/>
      <c r="B17" s="32" t="s">
        <v>85</v>
      </c>
      <c r="C17" s="32"/>
      <c r="D17" s="32"/>
    </row>
    <row r="18" spans="1:4" ht="43.2">
      <c r="A18" s="32"/>
      <c r="B18" s="32" t="s">
        <v>86</v>
      </c>
      <c r="C18" s="32"/>
      <c r="D18" s="32"/>
    </row>
    <row r="19" spans="1:4" ht="28.8">
      <c r="A19" s="32"/>
      <c r="B19" s="32"/>
      <c r="C19" s="32" t="s">
        <v>67</v>
      </c>
      <c r="D19" s="32"/>
    </row>
    <row r="20" spans="1:4">
      <c r="A20" s="32" t="s">
        <v>68</v>
      </c>
      <c r="B20" s="32"/>
      <c r="C20" s="32"/>
      <c r="D20" s="32"/>
    </row>
    <row r="21" spans="1:4">
      <c r="A21" s="379" t="s">
        <v>87</v>
      </c>
      <c r="B21" s="380"/>
      <c r="C21" s="380"/>
      <c r="D21" s="381"/>
    </row>
    <row r="22" spans="1:4">
      <c r="A22" s="376" t="s">
        <v>70</v>
      </c>
      <c r="B22" s="377"/>
      <c r="C22" s="377"/>
      <c r="D22" s="378"/>
    </row>
    <row r="23" spans="1:4">
      <c r="A23" s="379" t="s">
        <v>71</v>
      </c>
      <c r="B23" s="380"/>
      <c r="C23" s="380"/>
      <c r="D23" s="381"/>
    </row>
    <row r="24" spans="1:4">
      <c r="A24" s="382" t="s">
        <v>72</v>
      </c>
      <c r="B24" s="383"/>
      <c r="C24" s="383"/>
      <c r="D24" s="384"/>
    </row>
    <row r="25" spans="1:4">
      <c r="A25" s="382" t="s">
        <v>73</v>
      </c>
      <c r="B25" s="383"/>
      <c r="C25" s="383"/>
      <c r="D25" s="384"/>
    </row>
  </sheetData>
  <mergeCells count="8">
    <mergeCell ref="A23:D23"/>
    <mergeCell ref="A24:D24"/>
    <mergeCell ref="A25:D25"/>
    <mergeCell ref="A1:D1"/>
    <mergeCell ref="A2:D2"/>
    <mergeCell ref="A3:D3"/>
    <mergeCell ref="A21:D21"/>
    <mergeCell ref="A22:D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workbookViewId="0">
      <selection sqref="A1:D1"/>
    </sheetView>
  </sheetViews>
  <sheetFormatPr defaultColWidth="8.88671875" defaultRowHeight="14.4"/>
  <cols>
    <col min="1" max="1" width="29.6640625" style="307" customWidth="1"/>
    <col min="2" max="2" width="41.109375" style="307" customWidth="1"/>
    <col min="3" max="3" width="37.77734375" style="307" customWidth="1"/>
    <col min="4" max="4" width="45.109375" style="307" customWidth="1"/>
    <col min="5" max="16384" width="8.88671875" style="307"/>
  </cols>
  <sheetData>
    <row r="1" spans="1:20">
      <c r="A1" s="379" t="s">
        <v>37</v>
      </c>
      <c r="B1" s="380"/>
      <c r="C1" s="380"/>
      <c r="D1" s="381"/>
    </row>
    <row r="2" spans="1:20">
      <c r="A2" s="379" t="s">
        <v>74</v>
      </c>
      <c r="B2" s="380"/>
      <c r="C2" s="380"/>
      <c r="D2" s="381"/>
    </row>
    <row r="3" spans="1:20">
      <c r="A3" s="382" t="s">
        <v>88</v>
      </c>
      <c r="B3" s="383"/>
      <c r="C3" s="383"/>
      <c r="D3" s="384"/>
    </row>
    <row r="4" spans="1:20">
      <c r="A4" s="382" t="s">
        <v>89</v>
      </c>
      <c r="B4" s="383"/>
      <c r="C4" s="383"/>
      <c r="D4" s="384"/>
    </row>
    <row r="5" spans="1:20">
      <c r="A5" s="96" t="s">
        <v>53</v>
      </c>
      <c r="B5" s="96" t="s">
        <v>54</v>
      </c>
      <c r="C5" s="96" t="s">
        <v>55</v>
      </c>
      <c r="D5" s="96" t="s">
        <v>56</v>
      </c>
    </row>
    <row r="6" spans="1:20" ht="28.8">
      <c r="A6" s="32" t="s">
        <v>90</v>
      </c>
      <c r="B6" s="32"/>
      <c r="C6" s="32"/>
      <c r="D6" s="32"/>
    </row>
    <row r="7" spans="1:20">
      <c r="A7" s="32"/>
      <c r="B7" s="32" t="s">
        <v>91</v>
      </c>
      <c r="C7" s="32"/>
      <c r="D7" s="32"/>
    </row>
    <row r="8" spans="1:20">
      <c r="A8" s="32"/>
      <c r="B8" s="32"/>
      <c r="C8" s="32"/>
      <c r="D8" s="32" t="s">
        <v>92</v>
      </c>
    </row>
    <row r="9" spans="1:20" ht="28.8">
      <c r="A9" s="32"/>
      <c r="B9" s="32" t="s">
        <v>93</v>
      </c>
      <c r="C9" s="32"/>
      <c r="D9" s="32"/>
    </row>
    <row r="10" spans="1:20">
      <c r="A10" s="32"/>
      <c r="B10" s="32" t="s">
        <v>94</v>
      </c>
      <c r="C10" s="32"/>
      <c r="D10" s="32"/>
    </row>
    <row r="11" spans="1:20" ht="28.8">
      <c r="A11" s="32"/>
      <c r="B11" s="32"/>
      <c r="C11" s="32" t="s">
        <v>95</v>
      </c>
      <c r="D11" s="32"/>
    </row>
    <row r="12" spans="1:20">
      <c r="A12" s="32" t="s">
        <v>61</v>
      </c>
      <c r="B12" s="32"/>
      <c r="C12" s="32"/>
      <c r="D12" s="32"/>
    </row>
    <row r="13" spans="1:20" ht="28.8">
      <c r="A13" s="32"/>
      <c r="B13" s="32" t="s">
        <v>96</v>
      </c>
      <c r="C13" s="32"/>
      <c r="D13" s="32"/>
      <c r="T13" s="307" t="s">
        <v>37</v>
      </c>
    </row>
    <row r="14" spans="1:20">
      <c r="A14" s="32"/>
      <c r="B14" s="32"/>
      <c r="C14" s="32" t="s">
        <v>97</v>
      </c>
      <c r="D14" s="32"/>
    </row>
    <row r="15" spans="1:20">
      <c r="A15" s="379" t="s">
        <v>87</v>
      </c>
      <c r="B15" s="380"/>
      <c r="C15" s="380"/>
      <c r="D15" s="381"/>
    </row>
    <row r="16" spans="1:20">
      <c r="A16" s="376" t="s">
        <v>98</v>
      </c>
      <c r="B16" s="377"/>
      <c r="C16" s="377"/>
      <c r="D16" s="378"/>
    </row>
    <row r="17" spans="1:4">
      <c r="A17" s="379" t="s">
        <v>71</v>
      </c>
      <c r="B17" s="380"/>
      <c r="C17" s="380"/>
      <c r="D17" s="381"/>
    </row>
    <row r="18" spans="1:4">
      <c r="A18" s="382" t="s">
        <v>72</v>
      </c>
      <c r="B18" s="383"/>
      <c r="C18" s="383"/>
      <c r="D18" s="384"/>
    </row>
    <row r="19" spans="1:4">
      <c r="A19" s="382" t="s">
        <v>73</v>
      </c>
      <c r="B19" s="383"/>
      <c r="C19" s="383"/>
      <c r="D19" s="384"/>
    </row>
    <row r="20" spans="1:4">
      <c r="A20" s="385" t="s">
        <v>99</v>
      </c>
      <c r="B20" s="385"/>
      <c r="C20" s="385"/>
      <c r="D20" s="385"/>
    </row>
  </sheetData>
  <mergeCells count="10">
    <mergeCell ref="A16:D16"/>
    <mergeCell ref="A17:D17"/>
    <mergeCell ref="A18:D18"/>
    <mergeCell ref="A19:D19"/>
    <mergeCell ref="A20:D20"/>
    <mergeCell ref="A1:D1"/>
    <mergeCell ref="A2:D2"/>
    <mergeCell ref="A3:D3"/>
    <mergeCell ref="A4:D4"/>
    <mergeCell ref="A15:D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zoomScale="75" zoomScaleNormal="80" workbookViewId="0">
      <selection activeCell="A2" sqref="A2"/>
    </sheetView>
  </sheetViews>
  <sheetFormatPr defaultColWidth="8.88671875" defaultRowHeight="14.4"/>
  <cols>
    <col min="1" max="1" width="14.33203125" style="310" customWidth="1"/>
    <col min="2" max="2" width="116.109375" style="310" customWidth="1"/>
    <col min="3" max="3" width="29.5546875" style="310" customWidth="1"/>
    <col min="4" max="16384" width="8.88671875" style="310"/>
  </cols>
  <sheetData>
    <row r="1" spans="1:7" s="309" customFormat="1" ht="15.6">
      <c r="A1" s="575" t="s">
        <v>100</v>
      </c>
      <c r="B1" s="575" t="s">
        <v>101</v>
      </c>
      <c r="C1" s="575" t="s">
        <v>102</v>
      </c>
    </row>
    <row r="2" spans="1:7">
      <c r="A2" s="583" t="s">
        <v>103</v>
      </c>
      <c r="B2" s="577" t="s">
        <v>528</v>
      </c>
      <c r="C2" s="311" t="s">
        <v>104</v>
      </c>
    </row>
    <row r="3" spans="1:7">
      <c r="A3" s="576" t="s">
        <v>105</v>
      </c>
      <c r="B3" s="311" t="s">
        <v>106</v>
      </c>
      <c r="C3" s="311" t="s">
        <v>107</v>
      </c>
    </row>
    <row r="4" spans="1:7">
      <c r="A4" s="576" t="s">
        <v>108</v>
      </c>
      <c r="B4" s="308" t="s">
        <v>527</v>
      </c>
      <c r="C4" s="311" t="s">
        <v>109</v>
      </c>
    </row>
    <row r="5" spans="1:7">
      <c r="A5" s="576" t="s">
        <v>110</v>
      </c>
      <c r="B5" s="311" t="s">
        <v>111</v>
      </c>
      <c r="C5" s="311" t="s">
        <v>112</v>
      </c>
    </row>
    <row r="6" spans="1:7">
      <c r="A6" s="576" t="s">
        <v>113</v>
      </c>
      <c r="B6" s="311" t="s">
        <v>114</v>
      </c>
      <c r="C6" s="311" t="s">
        <v>115</v>
      </c>
    </row>
    <row r="7" spans="1:7">
      <c r="A7" s="576" t="s">
        <v>116</v>
      </c>
      <c r="B7" s="311" t="s">
        <v>117</v>
      </c>
      <c r="C7" s="311" t="s">
        <v>118</v>
      </c>
    </row>
    <row r="8" spans="1:7">
      <c r="A8" s="576" t="s">
        <v>119</v>
      </c>
      <c r="B8" s="311" t="s">
        <v>120</v>
      </c>
      <c r="C8" s="311" t="s">
        <v>121</v>
      </c>
    </row>
    <row r="9" spans="1:7">
      <c r="A9" s="576" t="s">
        <v>122</v>
      </c>
      <c r="B9" s="311" t="s">
        <v>123</v>
      </c>
      <c r="C9" s="311" t="s">
        <v>124</v>
      </c>
    </row>
    <row r="10" spans="1:7">
      <c r="A10" s="576" t="s">
        <v>125</v>
      </c>
      <c r="B10" s="311" t="s">
        <v>126</v>
      </c>
      <c r="C10" s="311" t="s">
        <v>127</v>
      </c>
    </row>
    <row r="11" spans="1:7">
      <c r="A11" s="576" t="s">
        <v>128</v>
      </c>
      <c r="B11" s="311" t="s">
        <v>129</v>
      </c>
      <c r="C11" s="311" t="s">
        <v>130</v>
      </c>
      <c r="F11" s="89"/>
      <c r="G11" s="89"/>
    </row>
    <row r="12" spans="1:7">
      <c r="A12" s="576" t="s">
        <v>131</v>
      </c>
      <c r="B12" s="311" t="s">
        <v>132</v>
      </c>
      <c r="C12" s="311" t="s">
        <v>133</v>
      </c>
      <c r="F12" s="89"/>
      <c r="G12" s="89"/>
    </row>
    <row r="13" spans="1:7">
      <c r="A13" s="576" t="s">
        <v>134</v>
      </c>
      <c r="B13" s="311" t="s">
        <v>135</v>
      </c>
      <c r="C13" s="311" t="s">
        <v>136</v>
      </c>
      <c r="F13" s="89"/>
      <c r="G13" s="89"/>
    </row>
    <row r="14" spans="1:7">
      <c r="A14" s="576" t="s">
        <v>137</v>
      </c>
      <c r="B14" s="311" t="s">
        <v>138</v>
      </c>
      <c r="C14" s="311" t="s">
        <v>139</v>
      </c>
    </row>
    <row r="15" spans="1:7">
      <c r="A15" s="576" t="s">
        <v>140</v>
      </c>
      <c r="B15" s="311" t="s">
        <v>141</v>
      </c>
      <c r="C15" s="311" t="s">
        <v>142</v>
      </c>
    </row>
    <row r="16" spans="1:7">
      <c r="A16" s="576" t="s">
        <v>143</v>
      </c>
      <c r="B16" s="311" t="s">
        <v>144</v>
      </c>
      <c r="C16" s="311" t="s">
        <v>145</v>
      </c>
    </row>
    <row r="17" spans="1:3">
      <c r="A17" s="576" t="s">
        <v>146</v>
      </c>
      <c r="B17" s="311" t="s">
        <v>147</v>
      </c>
      <c r="C17" s="311" t="s">
        <v>148</v>
      </c>
    </row>
    <row r="18" spans="1:3">
      <c r="A18" s="576" t="s">
        <v>149</v>
      </c>
      <c r="B18" s="311" t="s">
        <v>150</v>
      </c>
      <c r="C18" s="311" t="s">
        <v>151</v>
      </c>
    </row>
    <row r="19" spans="1:3">
      <c r="A19" s="576" t="s">
        <v>152</v>
      </c>
      <c r="B19" s="311" t="s">
        <v>153</v>
      </c>
      <c r="C19" s="311" t="s">
        <v>154</v>
      </c>
    </row>
    <row r="20" spans="1:3" ht="28.8">
      <c r="A20" s="576" t="s">
        <v>155</v>
      </c>
      <c r="B20" s="311" t="s">
        <v>156</v>
      </c>
      <c r="C20" s="311" t="s">
        <v>157</v>
      </c>
    </row>
    <row r="21" spans="1:3">
      <c r="A21" s="576" t="s">
        <v>158</v>
      </c>
      <c r="B21" s="311" t="s">
        <v>159</v>
      </c>
      <c r="C21" s="311" t="s">
        <v>160</v>
      </c>
    </row>
    <row r="22" spans="1:3">
      <c r="A22" s="576" t="s">
        <v>161</v>
      </c>
      <c r="B22" s="311" t="s">
        <v>162</v>
      </c>
      <c r="C22" s="311" t="s">
        <v>163</v>
      </c>
    </row>
    <row r="23" spans="1:3">
      <c r="A23" s="576" t="s">
        <v>164</v>
      </c>
      <c r="B23" s="308" t="s">
        <v>91</v>
      </c>
      <c r="C23" s="311" t="s">
        <v>165</v>
      </c>
    </row>
    <row r="24" spans="1:3">
      <c r="A24" s="576" t="s">
        <v>166</v>
      </c>
      <c r="B24" s="308" t="s">
        <v>93</v>
      </c>
      <c r="C24" s="311" t="s">
        <v>167</v>
      </c>
    </row>
    <row r="25" spans="1:3">
      <c r="A25" s="576" t="s">
        <v>168</v>
      </c>
      <c r="B25" s="308" t="s">
        <v>169</v>
      </c>
      <c r="C25" s="311" t="s">
        <v>170</v>
      </c>
    </row>
    <row r="26" spans="1:3">
      <c r="A26" s="576" t="s">
        <v>171</v>
      </c>
      <c r="B26" s="308" t="s">
        <v>172</v>
      </c>
      <c r="C26" s="311" t="s">
        <v>173</v>
      </c>
    </row>
    <row r="27" spans="1:3">
      <c r="A27" s="576" t="s">
        <v>174</v>
      </c>
      <c r="B27" s="308" t="s">
        <v>96</v>
      </c>
      <c r="C27" s="311" t="s">
        <v>175</v>
      </c>
    </row>
    <row r="28" spans="1:3">
      <c r="A28" s="576" t="s">
        <v>176</v>
      </c>
      <c r="B28" s="308" t="s">
        <v>177</v>
      </c>
      <c r="C28" s="311" t="s">
        <v>178</v>
      </c>
    </row>
    <row r="29" spans="1:3">
      <c r="A29" s="576" t="s">
        <v>179</v>
      </c>
      <c r="B29" s="308" t="s">
        <v>180</v>
      </c>
      <c r="C29" s="311" t="s">
        <v>181</v>
      </c>
    </row>
    <row r="30" spans="1:3">
      <c r="A30" s="576" t="s">
        <v>182</v>
      </c>
      <c r="B30" s="308" t="s">
        <v>183</v>
      </c>
      <c r="C30" s="311" t="s">
        <v>184</v>
      </c>
    </row>
    <row r="31" spans="1:3">
      <c r="A31" s="576" t="s">
        <v>185</v>
      </c>
      <c r="B31" s="308" t="s">
        <v>186</v>
      </c>
      <c r="C31" s="311" t="s">
        <v>187</v>
      </c>
    </row>
    <row r="32" spans="1:3">
      <c r="A32" s="576" t="s">
        <v>188</v>
      </c>
      <c r="B32" s="311" t="s">
        <v>189</v>
      </c>
      <c r="C32" s="311" t="s">
        <v>190</v>
      </c>
    </row>
    <row r="33" spans="1:3">
      <c r="A33" s="576" t="s">
        <v>191</v>
      </c>
      <c r="B33" s="311" t="s">
        <v>192</v>
      </c>
      <c r="C33" s="311" t="s">
        <v>193</v>
      </c>
    </row>
    <row r="34" spans="1:3">
      <c r="A34" s="576" t="s">
        <v>194</v>
      </c>
      <c r="B34" s="311" t="s">
        <v>195</v>
      </c>
      <c r="C34" s="311" t="s">
        <v>890</v>
      </c>
    </row>
    <row r="35" spans="1:3">
      <c r="A35" s="576" t="s">
        <v>196</v>
      </c>
      <c r="B35" s="308" t="s">
        <v>197</v>
      </c>
      <c r="C35" s="311" t="s">
        <v>892</v>
      </c>
    </row>
    <row r="36" spans="1:3">
      <c r="A36" s="576" t="s">
        <v>198</v>
      </c>
      <c r="B36" s="311" t="s">
        <v>199</v>
      </c>
      <c r="C36" s="311" t="s">
        <v>893</v>
      </c>
    </row>
    <row r="37" spans="1:3">
      <c r="A37" s="576" t="s">
        <v>200</v>
      </c>
      <c r="B37" s="308" t="s">
        <v>201</v>
      </c>
      <c r="C37" s="311" t="s">
        <v>891</v>
      </c>
    </row>
    <row r="38" spans="1:3">
      <c r="A38" s="576" t="s">
        <v>202</v>
      </c>
      <c r="B38" s="311" t="s">
        <v>203</v>
      </c>
      <c r="C38" s="311" t="s">
        <v>894</v>
      </c>
    </row>
    <row r="39" spans="1:3">
      <c r="A39" s="576" t="s">
        <v>522</v>
      </c>
      <c r="B39" s="311" t="s">
        <v>518</v>
      </c>
      <c r="C39" s="311" t="s">
        <v>650</v>
      </c>
    </row>
    <row r="40" spans="1:3">
      <c r="A40" s="578" t="s">
        <v>523</v>
      </c>
      <c r="B40" s="579" t="s">
        <v>899</v>
      </c>
      <c r="C40" s="580" t="s">
        <v>900</v>
      </c>
    </row>
    <row r="41" spans="1:3">
      <c r="A41" s="576" t="s">
        <v>524</v>
      </c>
      <c r="B41" s="311" t="s">
        <v>519</v>
      </c>
      <c r="C41" s="311" t="s">
        <v>895</v>
      </c>
    </row>
    <row r="42" spans="1:3">
      <c r="A42" s="576" t="s">
        <v>525</v>
      </c>
      <c r="B42" s="311" t="s">
        <v>520</v>
      </c>
      <c r="C42" s="311" t="s">
        <v>896</v>
      </c>
    </row>
    <row r="43" spans="1:3">
      <c r="A43" s="576" t="s">
        <v>526</v>
      </c>
      <c r="B43" s="311" t="s">
        <v>521</v>
      </c>
      <c r="C43" s="311" t="s">
        <v>897</v>
      </c>
    </row>
    <row r="44" spans="1:3">
      <c r="A44" s="311" t="s">
        <v>529</v>
      </c>
      <c r="B44" s="311" t="s">
        <v>530</v>
      </c>
      <c r="C44" s="311" t="s">
        <v>898</v>
      </c>
    </row>
  </sheetData>
  <phoneticPr fontId="2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33BD-3B45-4DE8-AE90-6731DB34DF86}">
  <dimension ref="A1:C16"/>
  <sheetViews>
    <sheetView workbookViewId="0">
      <selection activeCell="B33" sqref="B33"/>
    </sheetView>
  </sheetViews>
  <sheetFormatPr defaultColWidth="8.88671875" defaultRowHeight="14.4"/>
  <cols>
    <col min="1" max="1" width="44.33203125" style="331" customWidth="1"/>
    <col min="2" max="2" width="53.77734375" style="331" customWidth="1"/>
    <col min="3" max="3" width="48" style="331" customWidth="1"/>
    <col min="4" max="16384" width="8.88671875" style="331"/>
  </cols>
  <sheetData>
    <row r="1" spans="1:3" ht="18.600000000000001" thickBot="1">
      <c r="A1" s="330" t="s">
        <v>204</v>
      </c>
    </row>
    <row r="2" spans="1:3" ht="15" thickBot="1">
      <c r="A2" s="332" t="s">
        <v>91</v>
      </c>
      <c r="B2" s="333" t="s">
        <v>93</v>
      </c>
      <c r="C2" s="334" t="s">
        <v>94</v>
      </c>
    </row>
    <row r="3" spans="1:3" ht="43.2">
      <c r="A3" s="335" t="s">
        <v>205</v>
      </c>
      <c r="B3" s="336" t="s">
        <v>206</v>
      </c>
      <c r="C3" s="337" t="s">
        <v>207</v>
      </c>
    </row>
    <row r="4" spans="1:3" ht="28.8">
      <c r="A4" s="338" t="s">
        <v>208</v>
      </c>
      <c r="B4" s="339" t="s">
        <v>209</v>
      </c>
      <c r="C4" s="340" t="s">
        <v>210</v>
      </c>
    </row>
    <row r="5" spans="1:3">
      <c r="A5" s="338" t="s">
        <v>211</v>
      </c>
      <c r="B5" s="341" t="s">
        <v>212</v>
      </c>
      <c r="C5" s="340" t="s">
        <v>213</v>
      </c>
    </row>
    <row r="6" spans="1:3" ht="28.8">
      <c r="A6" s="342" t="s">
        <v>214</v>
      </c>
      <c r="B6" s="339" t="s">
        <v>215</v>
      </c>
      <c r="C6" s="343" t="s">
        <v>216</v>
      </c>
    </row>
    <row r="7" spans="1:3" ht="28.8">
      <c r="A7" s="338" t="s">
        <v>217</v>
      </c>
      <c r="B7" s="341" t="s">
        <v>218</v>
      </c>
      <c r="C7" s="343" t="s">
        <v>219</v>
      </c>
    </row>
    <row r="8" spans="1:3" ht="28.8">
      <c r="A8" s="342" t="s">
        <v>220</v>
      </c>
      <c r="B8" s="341" t="s">
        <v>221</v>
      </c>
      <c r="C8" s="343" t="s">
        <v>222</v>
      </c>
    </row>
    <row r="9" spans="1:3" ht="28.8">
      <c r="A9" s="338" t="s">
        <v>223</v>
      </c>
      <c r="B9" s="341" t="s">
        <v>224</v>
      </c>
      <c r="C9" s="340"/>
    </row>
    <row r="10" spans="1:3" ht="28.8">
      <c r="A10" s="338" t="s">
        <v>225</v>
      </c>
      <c r="B10" s="341" t="s">
        <v>226</v>
      </c>
      <c r="C10" s="340"/>
    </row>
    <row r="11" spans="1:3" ht="28.8">
      <c r="A11" s="342" t="s">
        <v>227</v>
      </c>
      <c r="B11" s="339" t="s">
        <v>228</v>
      </c>
      <c r="C11" s="340"/>
    </row>
    <row r="12" spans="1:3" ht="28.8">
      <c r="A12" s="338" t="s">
        <v>229</v>
      </c>
      <c r="B12" s="339"/>
      <c r="C12" s="340"/>
    </row>
    <row r="13" spans="1:3">
      <c r="A13" s="386" t="s">
        <v>230</v>
      </c>
      <c r="B13" s="387"/>
      <c r="C13" s="388"/>
    </row>
    <row r="14" spans="1:3">
      <c r="A14" s="386" t="s">
        <v>231</v>
      </c>
      <c r="B14" s="387"/>
      <c r="C14" s="388"/>
    </row>
    <row r="15" spans="1:3">
      <c r="A15" s="386" t="s">
        <v>232</v>
      </c>
      <c r="B15" s="387"/>
      <c r="C15" s="388"/>
    </row>
    <row r="16" spans="1:3" ht="15" thickBot="1">
      <c r="A16" s="389" t="s">
        <v>233</v>
      </c>
      <c r="B16" s="390"/>
      <c r="C16" s="391"/>
    </row>
  </sheetData>
  <mergeCells count="4">
    <mergeCell ref="A13:C13"/>
    <mergeCell ref="A14:C14"/>
    <mergeCell ref="A15:C15"/>
    <mergeCell ref="A16:C1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workbookViewId="0">
      <selection activeCell="C21" sqref="C21"/>
    </sheetView>
  </sheetViews>
  <sheetFormatPr defaultColWidth="8.88671875" defaultRowHeight="14.4"/>
  <cols>
    <col min="1" max="1" width="44.33203125" style="331" customWidth="1"/>
    <col min="2" max="2" width="53.77734375" style="331" customWidth="1"/>
    <col min="3" max="3" width="48" style="331" customWidth="1"/>
    <col min="4" max="16384" width="8.88671875" style="331"/>
  </cols>
  <sheetData>
    <row r="1" spans="1:3" ht="18.600000000000001" thickBot="1">
      <c r="A1" s="330" t="s">
        <v>234</v>
      </c>
    </row>
    <row r="2" spans="1:3" ht="15" thickBot="1">
      <c r="A2" s="346" t="s">
        <v>91</v>
      </c>
      <c r="B2" s="347" t="s">
        <v>93</v>
      </c>
      <c r="C2" s="348" t="s">
        <v>94</v>
      </c>
    </row>
    <row r="3" spans="1:3" ht="43.2">
      <c r="A3" s="335" t="s">
        <v>205</v>
      </c>
      <c r="B3" s="336" t="s">
        <v>209</v>
      </c>
      <c r="C3" s="337" t="s">
        <v>207</v>
      </c>
    </row>
    <row r="4" spans="1:3" ht="28.8">
      <c r="A4" s="342" t="s">
        <v>227</v>
      </c>
      <c r="B4" s="339" t="s">
        <v>206</v>
      </c>
      <c r="C4" s="340" t="s">
        <v>213</v>
      </c>
    </row>
    <row r="5" spans="1:3">
      <c r="A5" s="342" t="s">
        <v>220</v>
      </c>
      <c r="B5" s="339" t="s">
        <v>228</v>
      </c>
      <c r="C5" s="340" t="s">
        <v>213</v>
      </c>
    </row>
    <row r="6" spans="1:3" ht="29.4" thickBot="1">
      <c r="A6" s="433" t="s">
        <v>214</v>
      </c>
      <c r="B6" s="344" t="s">
        <v>215</v>
      </c>
      <c r="C6" s="345" t="s">
        <v>210</v>
      </c>
    </row>
    <row r="8" spans="1:3" ht="18">
      <c r="A8" s="330" t="s">
        <v>235</v>
      </c>
    </row>
    <row r="9" spans="1:3">
      <c r="A9" s="392" t="s">
        <v>236</v>
      </c>
      <c r="B9" s="393"/>
      <c r="C9" s="394"/>
    </row>
    <row r="10" spans="1:3">
      <c r="A10" s="346" t="s">
        <v>91</v>
      </c>
      <c r="B10" s="347" t="s">
        <v>93</v>
      </c>
      <c r="C10" s="348" t="s">
        <v>94</v>
      </c>
    </row>
    <row r="11" spans="1:3">
      <c r="A11" s="401" t="s">
        <v>237</v>
      </c>
      <c r="B11" s="402"/>
      <c r="C11" s="403"/>
    </row>
    <row r="12" spans="1:3">
      <c r="A12" s="395" t="s">
        <v>238</v>
      </c>
      <c r="B12" s="396"/>
      <c r="C12" s="397"/>
    </row>
    <row r="13" spans="1:3">
      <c r="A13" s="395" t="s">
        <v>239</v>
      </c>
      <c r="B13" s="396"/>
      <c r="C13" s="397"/>
    </row>
    <row r="14" spans="1:3">
      <c r="A14" s="395" t="s">
        <v>240</v>
      </c>
      <c r="B14" s="396"/>
      <c r="C14" s="397"/>
    </row>
    <row r="15" spans="1:3">
      <c r="A15" s="395" t="s">
        <v>230</v>
      </c>
      <c r="B15" s="396"/>
      <c r="C15" s="397"/>
    </row>
    <row r="16" spans="1:3">
      <c r="A16" s="395" t="s">
        <v>241</v>
      </c>
      <c r="B16" s="396"/>
      <c r="C16" s="397"/>
    </row>
    <row r="17" spans="1:3">
      <c r="A17" s="398" t="s">
        <v>242</v>
      </c>
      <c r="B17" s="399"/>
      <c r="C17" s="400"/>
    </row>
  </sheetData>
  <mergeCells count="8">
    <mergeCell ref="A16:C16"/>
    <mergeCell ref="A17:C17"/>
    <mergeCell ref="A11:C11"/>
    <mergeCell ref="A12:C12"/>
    <mergeCell ref="A13:C13"/>
    <mergeCell ref="A14:C14"/>
    <mergeCell ref="A15:C15"/>
    <mergeCell ref="A9:C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64"/>
  <sheetViews>
    <sheetView showGridLines="0" tabSelected="1" topLeftCell="A203" zoomScale="82" zoomScaleNormal="130" workbookViewId="0">
      <selection activeCell="K201" sqref="K201"/>
    </sheetView>
  </sheetViews>
  <sheetFormatPr defaultColWidth="14.44140625" defaultRowHeight="15.75" customHeight="1"/>
  <cols>
    <col min="1" max="1" width="26.6640625" style="115" customWidth="1"/>
    <col min="2" max="2" width="8.88671875" style="115" customWidth="1"/>
    <col min="3" max="3" width="18.6640625" style="115"/>
    <col min="4" max="5" width="14.44140625" style="115"/>
    <col min="6" max="6" width="16.109375" style="115" customWidth="1"/>
    <col min="7" max="7" width="17.44140625" style="115" customWidth="1"/>
    <col min="8" max="16384" width="14.44140625" style="115"/>
  </cols>
  <sheetData>
    <row r="1" spans="1:26" ht="17.399999999999999">
      <c r="A1" s="117" t="s">
        <v>243</v>
      </c>
      <c r="B1" s="118"/>
      <c r="C1" s="118"/>
      <c r="D1" s="118"/>
      <c r="E1" s="118"/>
      <c r="F1" s="118"/>
      <c r="G1" s="117" t="s">
        <v>244</v>
      </c>
      <c r="H1" s="118" t="s">
        <v>244</v>
      </c>
      <c r="I1" s="118"/>
      <c r="J1" s="118"/>
      <c r="K1" s="118"/>
      <c r="L1" s="118"/>
      <c r="M1" s="118"/>
      <c r="N1" s="118"/>
      <c r="O1" s="118"/>
      <c r="P1" s="118"/>
      <c r="Q1" s="118"/>
      <c r="R1" s="118"/>
      <c r="S1" s="118"/>
      <c r="T1" s="118"/>
      <c r="U1" s="118"/>
      <c r="V1" s="118"/>
      <c r="W1" s="118"/>
      <c r="X1" s="118"/>
      <c r="Y1" s="118"/>
      <c r="Z1" s="118"/>
    </row>
    <row r="2" spans="1:26" ht="17.399999999999999">
      <c r="A2" s="118" t="s">
        <v>245</v>
      </c>
      <c r="B2" s="118"/>
      <c r="C2" s="118"/>
      <c r="D2" s="118"/>
      <c r="E2" s="118"/>
      <c r="F2" s="118"/>
      <c r="G2" s="118"/>
      <c r="H2" s="118"/>
      <c r="I2" s="118"/>
      <c r="J2" s="118"/>
      <c r="K2" s="118"/>
      <c r="L2" s="118"/>
      <c r="M2" s="118"/>
      <c r="N2" s="118"/>
      <c r="O2" s="118"/>
      <c r="P2" s="118"/>
      <c r="Q2" s="118"/>
      <c r="R2" s="118"/>
      <c r="S2" s="118"/>
      <c r="T2" s="118"/>
      <c r="U2" s="118"/>
      <c r="V2" s="118"/>
      <c r="W2" s="118"/>
      <c r="X2" s="118"/>
      <c r="Y2" s="118"/>
      <c r="Z2" s="118"/>
    </row>
    <row r="3" spans="1:26" ht="17.399999999999999">
      <c r="A3" s="119"/>
      <c r="B3" s="119"/>
      <c r="C3" s="119"/>
      <c r="D3" s="119"/>
      <c r="E3" s="119"/>
      <c r="F3" s="119"/>
      <c r="G3" s="119"/>
      <c r="H3" s="119"/>
      <c r="I3" s="119"/>
      <c r="J3" s="119"/>
      <c r="K3" s="119"/>
      <c r="L3" s="119"/>
      <c r="M3" s="119"/>
      <c r="N3" s="119"/>
      <c r="O3" s="119"/>
      <c r="P3" s="119"/>
      <c r="Q3" s="119"/>
      <c r="R3" s="119"/>
      <c r="S3" s="119"/>
      <c r="T3" s="119"/>
      <c r="U3" s="119"/>
      <c r="V3" s="119"/>
      <c r="W3" s="119"/>
      <c r="X3" s="119"/>
      <c r="Y3" s="119"/>
      <c r="Z3" s="119"/>
    </row>
    <row r="4" spans="1:26" s="116" customFormat="1" ht="17.399999999999999">
      <c r="A4" s="120" t="s">
        <v>246</v>
      </c>
      <c r="B4" s="121"/>
      <c r="C4" s="121"/>
      <c r="D4" s="121"/>
      <c r="E4" s="121"/>
      <c r="F4" s="121"/>
      <c r="G4" s="121"/>
      <c r="H4" s="121"/>
      <c r="I4" s="121"/>
      <c r="J4" s="121"/>
      <c r="K4" s="121"/>
      <c r="L4" s="121"/>
      <c r="M4" s="121"/>
      <c r="N4" s="121"/>
      <c r="O4" s="121"/>
      <c r="P4" s="121"/>
      <c r="Q4" s="121"/>
      <c r="R4" s="121"/>
      <c r="S4" s="121"/>
      <c r="T4" s="121"/>
      <c r="U4" s="121"/>
      <c r="V4" s="121"/>
      <c r="W4" s="121"/>
      <c r="X4" s="121"/>
      <c r="Y4" s="121"/>
      <c r="Z4" s="121"/>
    </row>
    <row r="5" spans="1:26" ht="17.399999999999999">
      <c r="A5" s="117" t="s">
        <v>247</v>
      </c>
      <c r="B5" s="118"/>
      <c r="C5" s="118"/>
      <c r="D5" s="118"/>
      <c r="E5" s="118"/>
      <c r="F5" s="118"/>
      <c r="G5" s="118"/>
      <c r="H5" s="118"/>
      <c r="I5" s="118"/>
      <c r="J5" s="118"/>
      <c r="K5" s="118"/>
      <c r="L5" s="118"/>
      <c r="M5" s="118"/>
      <c r="N5" s="118"/>
      <c r="O5" s="118"/>
      <c r="P5" s="118"/>
      <c r="Q5" s="118"/>
      <c r="R5" s="118"/>
      <c r="S5" s="118"/>
      <c r="T5" s="118"/>
      <c r="U5" s="118"/>
      <c r="V5" s="118"/>
      <c r="W5" s="118"/>
      <c r="X5" s="118"/>
      <c r="Y5" s="118"/>
      <c r="Z5" s="118"/>
    </row>
    <row r="6" spans="1:26" ht="17.399999999999999">
      <c r="A6" s="118" t="s">
        <v>248</v>
      </c>
      <c r="B6" s="118"/>
      <c r="C6" s="118"/>
      <c r="D6" s="118"/>
      <c r="E6" s="118"/>
      <c r="F6" s="118"/>
      <c r="G6" s="118"/>
      <c r="H6" s="118"/>
      <c r="I6" s="118"/>
      <c r="J6" s="118"/>
      <c r="K6" s="118"/>
      <c r="L6" s="118"/>
      <c r="M6" s="118"/>
      <c r="N6" s="118"/>
      <c r="O6" s="118"/>
      <c r="P6" s="118"/>
      <c r="Q6" s="118"/>
      <c r="R6" s="118"/>
      <c r="S6" s="118"/>
      <c r="T6" s="118"/>
      <c r="U6" s="118"/>
      <c r="V6" s="118"/>
      <c r="W6" s="118"/>
      <c r="X6" s="118"/>
      <c r="Y6" s="118"/>
      <c r="Z6" s="118"/>
    </row>
    <row r="7" spans="1:26" ht="17.399999999999999">
      <c r="A7" s="118"/>
      <c r="B7" s="118"/>
      <c r="C7" s="118"/>
      <c r="D7" s="118"/>
      <c r="E7" s="118"/>
      <c r="F7" s="118"/>
      <c r="G7" s="118"/>
      <c r="H7" s="118"/>
      <c r="I7" s="118"/>
      <c r="J7" s="118"/>
      <c r="K7" s="118"/>
      <c r="L7" s="118"/>
      <c r="M7" s="118"/>
      <c r="N7" s="118"/>
      <c r="O7" s="118"/>
      <c r="P7" s="118"/>
      <c r="Q7" s="118"/>
      <c r="R7" s="118"/>
      <c r="S7" s="118"/>
      <c r="T7" s="118"/>
      <c r="U7" s="118"/>
      <c r="V7" s="118"/>
      <c r="W7" s="118"/>
      <c r="X7" s="118"/>
      <c r="Y7" s="118"/>
      <c r="Z7" s="118"/>
    </row>
    <row r="8" spans="1:26" ht="17.399999999999999">
      <c r="A8" s="118"/>
      <c r="B8" s="118"/>
      <c r="C8" s="404" t="s">
        <v>249</v>
      </c>
      <c r="D8" s="405"/>
      <c r="E8" s="406"/>
      <c r="F8" s="118"/>
      <c r="G8" s="118"/>
      <c r="H8" s="118"/>
      <c r="I8" s="118"/>
      <c r="J8" s="118"/>
      <c r="K8" s="118"/>
      <c r="L8" s="117"/>
      <c r="M8" s="118"/>
      <c r="N8" s="118"/>
      <c r="O8" s="117"/>
      <c r="P8" s="118"/>
      <c r="Q8" s="118"/>
      <c r="R8" s="118"/>
      <c r="S8" s="118"/>
      <c r="T8" s="118"/>
      <c r="U8" s="118"/>
      <c r="V8" s="118"/>
      <c r="W8" s="118"/>
      <c r="X8" s="118"/>
      <c r="Y8" s="118"/>
      <c r="Z8" s="118"/>
    </row>
    <row r="9" spans="1:26" ht="18.899999999999999" customHeight="1">
      <c r="A9" s="117" t="s">
        <v>250</v>
      </c>
      <c r="B9" s="118"/>
      <c r="C9" s="122" t="s">
        <v>251</v>
      </c>
      <c r="D9" s="123" t="s">
        <v>252</v>
      </c>
      <c r="E9" s="124" t="s">
        <v>253</v>
      </c>
      <c r="F9" s="117"/>
      <c r="G9" s="117" t="s">
        <v>254</v>
      </c>
      <c r="H9" s="118"/>
      <c r="I9" s="118"/>
      <c r="J9" s="118"/>
      <c r="K9" s="117"/>
      <c r="L9" s="150"/>
      <c r="M9" s="150"/>
      <c r="N9" s="150"/>
      <c r="O9" s="118"/>
      <c r="P9" s="118"/>
      <c r="Q9" s="118"/>
      <c r="R9" s="118"/>
      <c r="S9" s="118"/>
      <c r="T9" s="118"/>
      <c r="U9" s="118"/>
      <c r="V9" s="118"/>
      <c r="W9" s="118"/>
      <c r="X9" s="118"/>
      <c r="Y9" s="118"/>
      <c r="Z9" s="118"/>
    </row>
    <row r="10" spans="1:26" ht="17.399999999999999">
      <c r="A10" s="125" t="s">
        <v>255</v>
      </c>
      <c r="B10" s="126"/>
      <c r="C10" s="127"/>
      <c r="D10" s="118"/>
      <c r="E10" s="128"/>
      <c r="F10" s="118"/>
      <c r="G10" s="118" t="s">
        <v>256</v>
      </c>
      <c r="H10" s="118"/>
      <c r="I10" s="118"/>
      <c r="J10" s="118"/>
      <c r="K10" s="118"/>
      <c r="L10" s="118"/>
      <c r="M10" s="118"/>
      <c r="N10" s="118"/>
      <c r="O10" s="118"/>
      <c r="P10" s="118"/>
      <c r="Q10" s="118"/>
      <c r="R10" s="118"/>
      <c r="S10" s="118"/>
      <c r="T10" s="118"/>
      <c r="U10" s="118"/>
      <c r="V10" s="118"/>
      <c r="W10" s="118"/>
      <c r="X10" s="118"/>
      <c r="Y10" s="118"/>
      <c r="Z10" s="118"/>
    </row>
    <row r="11" spans="1:26" ht="17.399999999999999">
      <c r="A11" s="125" t="s">
        <v>257</v>
      </c>
      <c r="B11" s="129"/>
      <c r="C11" s="130"/>
      <c r="D11" s="118"/>
      <c r="E11" s="128"/>
      <c r="F11" s="118"/>
      <c r="G11" s="118" t="s">
        <v>258</v>
      </c>
      <c r="H11" s="118"/>
      <c r="I11" s="118"/>
      <c r="J11" s="118"/>
      <c r="K11" s="118"/>
      <c r="L11" s="118"/>
      <c r="M11" s="118"/>
      <c r="N11" s="118"/>
      <c r="O11" s="118"/>
      <c r="P11" s="118"/>
      <c r="Q11" s="118"/>
      <c r="R11" s="118"/>
      <c r="S11" s="118"/>
      <c r="T11" s="118"/>
      <c r="U11" s="118"/>
      <c r="V11" s="118"/>
      <c r="W11" s="118"/>
      <c r="X11" s="118"/>
      <c r="Y11" s="118"/>
      <c r="Z11" s="118"/>
    </row>
    <row r="12" spans="1:26" ht="17.399999999999999">
      <c r="A12" s="125" t="s">
        <v>259</v>
      </c>
      <c r="B12" s="129"/>
      <c r="C12" s="127"/>
      <c r="D12" s="118"/>
      <c r="E12" s="128"/>
      <c r="F12" s="118"/>
      <c r="G12" s="118" t="s">
        <v>260</v>
      </c>
      <c r="H12" s="118"/>
      <c r="I12" s="118"/>
      <c r="J12" s="118"/>
      <c r="K12" s="118"/>
      <c r="L12" s="118"/>
      <c r="M12" s="118"/>
      <c r="N12" s="118"/>
      <c r="O12" s="118"/>
      <c r="P12" s="118"/>
      <c r="Q12" s="118"/>
      <c r="R12" s="118"/>
      <c r="S12" s="118"/>
      <c r="T12" s="118"/>
      <c r="U12" s="118"/>
      <c r="V12" s="118"/>
      <c r="W12" s="118"/>
      <c r="X12" s="118"/>
      <c r="Y12" s="118"/>
      <c r="Z12" s="118"/>
    </row>
    <row r="13" spans="1:26" ht="17.399999999999999">
      <c r="A13" s="125" t="s">
        <v>261</v>
      </c>
      <c r="B13" s="126"/>
      <c r="C13" s="127"/>
      <c r="D13" s="118"/>
      <c r="E13" s="128"/>
      <c r="F13" s="118"/>
      <c r="G13" s="118" t="s">
        <v>262</v>
      </c>
      <c r="H13" s="118"/>
      <c r="I13" s="118"/>
      <c r="J13" s="118"/>
      <c r="K13" s="118"/>
      <c r="L13" s="118"/>
      <c r="M13" s="118"/>
      <c r="N13" s="118"/>
      <c r="O13" s="118"/>
      <c r="P13" s="118"/>
      <c r="Q13" s="118"/>
      <c r="R13" s="118"/>
      <c r="S13" s="118"/>
      <c r="T13" s="118"/>
      <c r="U13" s="118"/>
      <c r="V13" s="118"/>
      <c r="W13" s="118"/>
      <c r="X13" s="118"/>
      <c r="Y13" s="118"/>
      <c r="Z13" s="118"/>
    </row>
    <row r="14" spans="1:26" ht="17.399999999999999">
      <c r="A14" s="125" t="s">
        <v>263</v>
      </c>
      <c r="B14" s="125"/>
      <c r="C14" s="127"/>
      <c r="D14" s="118"/>
      <c r="E14" s="128"/>
      <c r="F14" s="118"/>
      <c r="G14" s="118" t="s">
        <v>264</v>
      </c>
      <c r="H14" s="118"/>
      <c r="I14" s="118"/>
      <c r="J14" s="118"/>
      <c r="K14" s="118"/>
      <c r="L14" s="118"/>
      <c r="M14" s="118"/>
      <c r="N14" s="118"/>
      <c r="O14" s="118"/>
      <c r="P14" s="118"/>
      <c r="Q14" s="118"/>
      <c r="R14" s="118"/>
      <c r="S14" s="118"/>
      <c r="T14" s="118"/>
      <c r="U14" s="118"/>
      <c r="V14" s="118"/>
      <c r="W14" s="118"/>
      <c r="X14" s="118"/>
      <c r="Y14" s="118"/>
      <c r="Z14" s="118"/>
    </row>
    <row r="15" spans="1:26" ht="17.399999999999999">
      <c r="A15" s="125" t="s">
        <v>265</v>
      </c>
      <c r="B15" s="125"/>
      <c r="C15" s="131"/>
      <c r="D15" s="132"/>
      <c r="E15" s="133"/>
      <c r="F15" s="118"/>
      <c r="G15" s="118" t="s">
        <v>266</v>
      </c>
      <c r="H15" s="118"/>
      <c r="I15" s="118"/>
      <c r="J15" s="118"/>
      <c r="K15" s="118"/>
      <c r="L15" s="118"/>
      <c r="M15" s="118"/>
      <c r="N15" s="118"/>
      <c r="O15" s="118"/>
      <c r="P15" s="118"/>
      <c r="Q15" s="118"/>
      <c r="R15" s="118"/>
      <c r="S15" s="118"/>
      <c r="T15" s="118"/>
      <c r="U15" s="118"/>
      <c r="V15" s="118"/>
      <c r="W15" s="118"/>
      <c r="X15" s="118"/>
      <c r="Y15" s="118"/>
      <c r="Z15" s="118"/>
    </row>
    <row r="16" spans="1:26" ht="17.399999999999999">
      <c r="A16" s="125" t="s">
        <v>267</v>
      </c>
      <c r="B16" s="129"/>
      <c r="C16" s="127"/>
      <c r="D16" s="118"/>
      <c r="E16" s="128"/>
      <c r="F16" s="118"/>
      <c r="G16" s="118" t="s">
        <v>267</v>
      </c>
      <c r="H16" s="118"/>
      <c r="I16" s="118"/>
      <c r="J16" s="118"/>
      <c r="K16" s="118"/>
      <c r="L16" s="118"/>
      <c r="M16" s="118"/>
      <c r="N16" s="118"/>
      <c r="O16" s="118"/>
      <c r="P16" s="118"/>
      <c r="Q16" s="118"/>
      <c r="R16" s="118"/>
      <c r="S16" s="118"/>
      <c r="T16" s="118"/>
      <c r="U16" s="118"/>
      <c r="V16" s="118"/>
      <c r="W16" s="118"/>
      <c r="X16" s="118"/>
      <c r="Y16" s="118"/>
      <c r="Z16" s="118"/>
    </row>
    <row r="17" spans="1:26" ht="17.399999999999999">
      <c r="A17" s="125" t="s">
        <v>11</v>
      </c>
      <c r="B17" s="118"/>
      <c r="C17" s="134"/>
      <c r="D17" s="135"/>
      <c r="E17" s="136"/>
      <c r="F17" s="118"/>
      <c r="G17" s="118" t="s">
        <v>268</v>
      </c>
      <c r="H17" s="118"/>
      <c r="I17" s="118"/>
      <c r="J17" s="118"/>
      <c r="K17" s="118"/>
      <c r="L17" s="118"/>
      <c r="M17" s="118"/>
      <c r="N17" s="118"/>
      <c r="O17" s="118"/>
      <c r="P17" s="118"/>
      <c r="Q17" s="118"/>
      <c r="R17" s="118"/>
      <c r="S17" s="118"/>
      <c r="T17" s="118"/>
      <c r="U17" s="118"/>
      <c r="V17" s="118"/>
      <c r="W17" s="118"/>
      <c r="X17" s="118"/>
      <c r="Y17" s="118"/>
      <c r="Z17" s="118"/>
    </row>
    <row r="18" spans="1:26" ht="17.399999999999999">
      <c r="A18" s="117" t="s">
        <v>269</v>
      </c>
      <c r="B18" s="137"/>
      <c r="C18" s="119"/>
      <c r="D18" s="119"/>
      <c r="E18" s="138"/>
      <c r="F18" s="118"/>
      <c r="G18" s="118"/>
      <c r="H18" s="118"/>
      <c r="I18" s="118"/>
      <c r="J18" s="118"/>
      <c r="K18" s="118"/>
      <c r="L18" s="118"/>
      <c r="M18" s="118"/>
      <c r="N18" s="118"/>
      <c r="O18" s="118"/>
      <c r="P18" s="118"/>
      <c r="Q18" s="118"/>
      <c r="R18" s="118"/>
      <c r="S18" s="118"/>
      <c r="T18" s="118"/>
      <c r="U18" s="118"/>
      <c r="V18" s="118"/>
      <c r="W18" s="118"/>
      <c r="X18" s="118"/>
      <c r="Y18" s="118"/>
      <c r="Z18" s="118"/>
    </row>
    <row r="19" spans="1:26" ht="17.399999999999999">
      <c r="A19" s="117"/>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row>
    <row r="20" spans="1:26" ht="17.399999999999999">
      <c r="A20" s="117" t="s">
        <v>270</v>
      </c>
      <c r="B20" s="118"/>
      <c r="C20" s="118"/>
      <c r="D20" s="118"/>
      <c r="E20" s="125"/>
      <c r="F20" s="118"/>
      <c r="G20" s="118"/>
      <c r="H20" s="118"/>
      <c r="I20" s="118"/>
      <c r="J20" s="118"/>
      <c r="K20" s="118"/>
      <c r="L20" s="118"/>
      <c r="M20" s="118"/>
      <c r="N20" s="118"/>
      <c r="O20" s="118"/>
      <c r="P20" s="118"/>
      <c r="Q20" s="118"/>
      <c r="R20" s="118"/>
      <c r="S20" s="118"/>
      <c r="T20" s="118"/>
      <c r="U20" s="118"/>
      <c r="V20" s="118"/>
      <c r="W20" s="118"/>
      <c r="X20" s="118"/>
      <c r="Y20" s="118"/>
      <c r="Z20" s="118"/>
    </row>
    <row r="21" spans="1:26" ht="17.399999999999999">
      <c r="B21" s="139" t="s">
        <v>271</v>
      </c>
      <c r="C21" s="140" t="s">
        <v>272</v>
      </c>
      <c r="D21" s="141"/>
      <c r="E21" s="141"/>
      <c r="F21" s="141"/>
      <c r="G21" s="141"/>
      <c r="H21" s="141"/>
      <c r="I21" s="141"/>
      <c r="J21" s="141"/>
      <c r="K21" s="141"/>
      <c r="L21" s="141"/>
      <c r="M21" s="141"/>
      <c r="N21" s="141"/>
      <c r="O21" s="189"/>
      <c r="P21" s="118"/>
      <c r="Q21" s="118"/>
      <c r="R21" s="118"/>
      <c r="S21" s="118"/>
      <c r="T21" s="118"/>
      <c r="U21" s="118"/>
      <c r="V21" s="118"/>
      <c r="W21" s="118"/>
      <c r="X21" s="118"/>
      <c r="Y21" s="118"/>
      <c r="Z21" s="118"/>
    </row>
    <row r="22" spans="1:26" ht="17.399999999999999">
      <c r="B22" s="142">
        <v>5</v>
      </c>
      <c r="C22" s="143" t="s">
        <v>273</v>
      </c>
      <c r="D22" s="143"/>
      <c r="E22" s="143"/>
      <c r="F22" s="143"/>
      <c r="G22" s="143"/>
      <c r="H22" s="143"/>
      <c r="I22" s="143"/>
      <c r="J22" s="143"/>
      <c r="K22" s="143"/>
      <c r="L22" s="143"/>
      <c r="M22" s="143"/>
      <c r="N22" s="143"/>
      <c r="O22" s="190"/>
      <c r="P22" s="118"/>
      <c r="Q22" s="118"/>
      <c r="R22" s="118"/>
      <c r="S22" s="118"/>
      <c r="T22" s="118"/>
      <c r="U22" s="118"/>
      <c r="V22" s="118"/>
      <c r="W22" s="118"/>
      <c r="X22" s="118"/>
      <c r="Y22" s="118"/>
      <c r="Z22" s="118"/>
    </row>
    <row r="23" spans="1:26" ht="17.399999999999999">
      <c r="B23" s="144">
        <v>4</v>
      </c>
      <c r="C23" s="118" t="s">
        <v>274</v>
      </c>
      <c r="D23" s="118"/>
      <c r="E23" s="118"/>
      <c r="F23" s="118"/>
      <c r="G23" s="118"/>
      <c r="H23" s="118"/>
      <c r="I23" s="118"/>
      <c r="J23" s="118"/>
      <c r="K23" s="118"/>
      <c r="L23" s="118"/>
      <c r="M23" s="118"/>
      <c r="N23" s="118"/>
      <c r="O23" s="128"/>
      <c r="P23" s="118"/>
      <c r="Q23" s="118"/>
      <c r="R23" s="118"/>
      <c r="S23" s="118"/>
      <c r="T23" s="118"/>
      <c r="U23" s="118"/>
      <c r="V23" s="118"/>
      <c r="W23" s="118"/>
      <c r="X23" s="118"/>
      <c r="Y23" s="118"/>
      <c r="Z23" s="118"/>
    </row>
    <row r="24" spans="1:26" ht="17.399999999999999">
      <c r="B24" s="144">
        <v>3</v>
      </c>
      <c r="C24" s="118" t="s">
        <v>275</v>
      </c>
      <c r="D24" s="118"/>
      <c r="E24" s="118"/>
      <c r="F24" s="118"/>
      <c r="G24" s="118"/>
      <c r="H24" s="118"/>
      <c r="I24" s="118"/>
      <c r="J24" s="118"/>
      <c r="K24" s="118"/>
      <c r="L24" s="118"/>
      <c r="M24" s="118"/>
      <c r="N24" s="118"/>
      <c r="O24" s="128"/>
      <c r="P24" s="118"/>
      <c r="Q24" s="118"/>
      <c r="R24" s="118"/>
      <c r="S24" s="118"/>
      <c r="T24" s="118"/>
      <c r="U24" s="118"/>
      <c r="V24" s="118"/>
      <c r="W24" s="118"/>
      <c r="X24" s="118"/>
      <c r="Y24" s="118"/>
      <c r="Z24" s="118"/>
    </row>
    <row r="25" spans="1:26" ht="17.399999999999999">
      <c r="B25" s="144">
        <v>2</v>
      </c>
      <c r="C25" s="118" t="s">
        <v>276</v>
      </c>
      <c r="D25" s="118"/>
      <c r="E25" s="118"/>
      <c r="F25" s="118"/>
      <c r="G25" s="118"/>
      <c r="H25" s="118"/>
      <c r="I25" s="118"/>
      <c r="J25" s="118"/>
      <c r="K25" s="118"/>
      <c r="L25" s="118"/>
      <c r="M25" s="118"/>
      <c r="N25" s="118"/>
      <c r="O25" s="128"/>
      <c r="P25" s="118"/>
      <c r="Q25" s="118"/>
      <c r="R25" s="118"/>
      <c r="S25" s="118"/>
      <c r="T25" s="118"/>
      <c r="U25" s="118"/>
      <c r="V25" s="118"/>
      <c r="W25" s="118"/>
      <c r="X25" s="118"/>
      <c r="Y25" s="118"/>
      <c r="Z25" s="118"/>
    </row>
    <row r="26" spans="1:26" ht="17.399999999999999">
      <c r="B26" s="145">
        <v>1</v>
      </c>
      <c r="C26" s="135" t="s">
        <v>277</v>
      </c>
      <c r="D26" s="135"/>
      <c r="E26" s="135"/>
      <c r="F26" s="135"/>
      <c r="G26" s="135"/>
      <c r="H26" s="135"/>
      <c r="I26" s="135"/>
      <c r="J26" s="135"/>
      <c r="K26" s="135"/>
      <c r="L26" s="135"/>
      <c r="M26" s="135"/>
      <c r="N26" s="135"/>
      <c r="O26" s="136"/>
      <c r="P26" s="118"/>
      <c r="Q26" s="118"/>
      <c r="R26" s="118"/>
      <c r="S26" s="118"/>
      <c r="T26" s="118"/>
      <c r="U26" s="118"/>
      <c r="V26" s="118"/>
      <c r="W26" s="118"/>
      <c r="X26" s="118"/>
      <c r="Y26" s="118"/>
      <c r="Z26" s="118"/>
    </row>
    <row r="27" spans="1:26" ht="17.399999999999999">
      <c r="A27" s="146"/>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spans="1:26" ht="17.399999999999999">
      <c r="A28" s="147" t="s">
        <v>278</v>
      </c>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row>
    <row r="29" spans="1:26" ht="17.399999999999999">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spans="1:26" ht="17.399999999999999">
      <c r="A30" s="118"/>
      <c r="B30" s="118"/>
      <c r="C30" s="404" t="s">
        <v>249</v>
      </c>
      <c r="D30" s="405"/>
      <c r="E30" s="406"/>
      <c r="F30" s="127"/>
      <c r="G30" s="118"/>
      <c r="H30" s="118"/>
      <c r="I30" s="118"/>
      <c r="J30" s="118"/>
      <c r="K30" s="118"/>
      <c r="L30" s="117"/>
      <c r="M30" s="118"/>
      <c r="N30" s="118"/>
      <c r="O30" s="117"/>
      <c r="P30" s="118"/>
      <c r="Q30" s="118"/>
      <c r="R30" s="118"/>
      <c r="S30" s="118"/>
      <c r="T30" s="118"/>
      <c r="U30" s="118"/>
      <c r="V30" s="118"/>
      <c r="W30" s="118"/>
      <c r="X30" s="118"/>
      <c r="Y30" s="118"/>
      <c r="Z30" s="118"/>
    </row>
    <row r="31" spans="1:26" ht="18">
      <c r="A31" s="117" t="s">
        <v>250</v>
      </c>
      <c r="B31" s="118"/>
      <c r="C31" s="149" t="s">
        <v>251</v>
      </c>
      <c r="D31" s="150" t="s">
        <v>252</v>
      </c>
      <c r="E31" s="151" t="s">
        <v>253</v>
      </c>
      <c r="F31" s="152" t="s">
        <v>279</v>
      </c>
      <c r="G31" s="153" t="s">
        <v>280</v>
      </c>
      <c r="H31" s="118"/>
      <c r="I31" s="118"/>
      <c r="J31" s="118"/>
      <c r="K31" s="117"/>
      <c r="L31" s="150"/>
      <c r="M31" s="150"/>
      <c r="N31" s="150"/>
      <c r="O31" s="118"/>
      <c r="P31" s="118"/>
      <c r="Q31" s="118"/>
      <c r="R31" s="118"/>
      <c r="S31" s="118"/>
      <c r="T31" s="118"/>
      <c r="U31" s="118"/>
      <c r="V31" s="118"/>
      <c r="W31" s="118"/>
      <c r="X31" s="118"/>
      <c r="Y31" s="118"/>
      <c r="Z31" s="118"/>
    </row>
    <row r="32" spans="1:26" ht="17.399999999999999">
      <c r="A32" s="125" t="s">
        <v>255</v>
      </c>
      <c r="B32" s="154"/>
      <c r="C32" s="155">
        <v>0.1</v>
      </c>
      <c r="D32" s="156">
        <v>0.05</v>
      </c>
      <c r="E32" s="157">
        <v>0.23</v>
      </c>
      <c r="F32" s="158"/>
      <c r="G32" s="159">
        <v>0.4</v>
      </c>
      <c r="H32" s="118"/>
      <c r="I32" s="118"/>
      <c r="J32" s="118"/>
      <c r="K32" s="118"/>
      <c r="L32" s="118"/>
      <c r="M32" s="118"/>
      <c r="N32" s="118"/>
      <c r="O32" s="118"/>
      <c r="P32" s="118"/>
      <c r="Q32" s="118"/>
      <c r="R32" s="118"/>
      <c r="S32" s="118"/>
      <c r="T32" s="118"/>
      <c r="U32" s="118"/>
      <c r="V32" s="118"/>
      <c r="W32" s="118"/>
      <c r="X32" s="118"/>
      <c r="Y32" s="118"/>
      <c r="Z32" s="118"/>
    </row>
    <row r="33" spans="1:26" ht="17.399999999999999">
      <c r="A33" s="125" t="s">
        <v>257</v>
      </c>
      <c r="C33" s="160" t="s">
        <v>281</v>
      </c>
      <c r="D33" s="161" t="s">
        <v>282</v>
      </c>
      <c r="E33" s="162" t="s">
        <v>283</v>
      </c>
      <c r="F33" s="158"/>
      <c r="G33" s="163" t="s">
        <v>284</v>
      </c>
      <c r="H33" s="118"/>
      <c r="I33" s="118"/>
      <c r="J33" s="118"/>
      <c r="K33" s="118"/>
      <c r="L33" s="118"/>
      <c r="M33" s="118"/>
      <c r="N33" s="118"/>
      <c r="O33" s="118"/>
      <c r="P33" s="118"/>
      <c r="Q33" s="118"/>
      <c r="R33" s="118"/>
      <c r="S33" s="118"/>
      <c r="T33" s="118"/>
      <c r="U33" s="118"/>
      <c r="V33" s="118"/>
      <c r="W33" s="118"/>
      <c r="X33" s="118"/>
      <c r="Y33" s="118"/>
      <c r="Z33" s="118"/>
    </row>
    <row r="34" spans="1:26" ht="17.399999999999999">
      <c r="A34" s="125" t="s">
        <v>259</v>
      </c>
      <c r="C34" s="160">
        <v>0.95</v>
      </c>
      <c r="D34" s="161">
        <v>0.92</v>
      </c>
      <c r="E34" s="162">
        <v>0.9</v>
      </c>
      <c r="F34" s="158"/>
      <c r="G34" s="159"/>
      <c r="H34" s="118"/>
      <c r="I34" s="118"/>
      <c r="J34" s="118"/>
      <c r="K34" s="118"/>
      <c r="L34" s="118"/>
      <c r="M34" s="118"/>
      <c r="N34" s="118"/>
      <c r="O34" s="118"/>
      <c r="P34" s="118"/>
      <c r="Q34" s="118"/>
      <c r="R34" s="118"/>
      <c r="S34" s="118"/>
      <c r="T34" s="118"/>
      <c r="U34" s="118"/>
      <c r="V34" s="118"/>
      <c r="W34" s="118"/>
      <c r="X34" s="118"/>
      <c r="Y34" s="118"/>
      <c r="Z34" s="118"/>
    </row>
    <row r="35" spans="1:26" ht="17.399999999999999">
      <c r="A35" s="125" t="s">
        <v>261</v>
      </c>
      <c r="B35" s="154"/>
      <c r="C35" s="160">
        <v>0.93</v>
      </c>
      <c r="D35" s="161">
        <v>0.9</v>
      </c>
      <c r="E35" s="162">
        <v>0.87</v>
      </c>
      <c r="F35" s="158"/>
      <c r="G35" s="159"/>
      <c r="H35" s="118"/>
      <c r="I35" s="118"/>
      <c r="J35" s="118"/>
      <c r="K35" s="118"/>
      <c r="L35" s="118"/>
      <c r="M35" s="118"/>
      <c r="N35" s="118"/>
      <c r="O35" s="118"/>
      <c r="P35" s="118"/>
      <c r="Q35" s="118"/>
      <c r="R35" s="118"/>
      <c r="S35" s="118"/>
      <c r="T35" s="118"/>
      <c r="U35" s="118"/>
      <c r="V35" s="118"/>
      <c r="W35" s="118"/>
      <c r="X35" s="118"/>
      <c r="Y35" s="118"/>
      <c r="Z35" s="118"/>
    </row>
    <row r="36" spans="1:26" ht="17.399999999999999">
      <c r="A36" s="125" t="s">
        <v>285</v>
      </c>
      <c r="B36" s="125"/>
      <c r="C36" s="164" t="s">
        <v>286</v>
      </c>
      <c r="D36" s="165" t="s">
        <v>287</v>
      </c>
      <c r="E36" s="166" t="s">
        <v>288</v>
      </c>
      <c r="F36" s="158"/>
      <c r="G36" s="159" t="s">
        <v>289</v>
      </c>
      <c r="H36" s="118"/>
      <c r="I36" s="118"/>
      <c r="J36" s="118"/>
      <c r="K36" s="118"/>
      <c r="L36" s="118"/>
      <c r="M36" s="118"/>
      <c r="N36" s="118"/>
      <c r="O36" s="118"/>
      <c r="P36" s="118"/>
      <c r="Q36" s="118"/>
      <c r="R36" s="118"/>
      <c r="S36" s="118"/>
      <c r="T36" s="118"/>
      <c r="U36" s="118"/>
      <c r="V36" s="118"/>
      <c r="W36" s="118"/>
      <c r="X36" s="118"/>
      <c r="Y36" s="118"/>
      <c r="Z36" s="118"/>
    </row>
    <row r="37" spans="1:26" ht="17.399999999999999">
      <c r="A37" s="125" t="s">
        <v>265</v>
      </c>
      <c r="B37" s="125"/>
      <c r="C37" s="164" t="s">
        <v>290</v>
      </c>
      <c r="D37" s="165" t="s">
        <v>291</v>
      </c>
      <c r="E37" s="166" t="s">
        <v>292</v>
      </c>
      <c r="F37" s="158"/>
      <c r="G37" s="167" t="s">
        <v>293</v>
      </c>
      <c r="H37" s="118"/>
      <c r="I37" s="118"/>
      <c r="J37" s="118"/>
      <c r="K37" s="118"/>
      <c r="L37" s="118"/>
      <c r="M37" s="118"/>
      <c r="N37" s="118"/>
      <c r="O37" s="118"/>
      <c r="P37" s="118"/>
      <c r="Q37" s="118"/>
      <c r="R37" s="118"/>
      <c r="S37" s="118"/>
      <c r="T37" s="118"/>
      <c r="U37" s="118"/>
      <c r="V37" s="118"/>
      <c r="W37" s="118"/>
      <c r="X37" s="118"/>
      <c r="Y37" s="118"/>
      <c r="Z37" s="118"/>
    </row>
    <row r="38" spans="1:26" ht="17.399999999999999">
      <c r="A38" s="125" t="s">
        <v>267</v>
      </c>
      <c r="C38" s="164" t="s">
        <v>294</v>
      </c>
      <c r="D38" s="165" t="s">
        <v>295</v>
      </c>
      <c r="E38" s="166" t="s">
        <v>296</v>
      </c>
      <c r="F38" s="158"/>
      <c r="G38" s="166" t="s">
        <v>297</v>
      </c>
      <c r="H38" s="118"/>
      <c r="I38" s="118"/>
      <c r="J38" s="118"/>
      <c r="K38" s="118"/>
      <c r="L38" s="118"/>
      <c r="M38" s="118"/>
      <c r="N38" s="118"/>
      <c r="O38" s="118"/>
      <c r="P38" s="118"/>
      <c r="Q38" s="118"/>
      <c r="R38" s="118"/>
      <c r="S38" s="118"/>
      <c r="T38" s="118"/>
      <c r="U38" s="118"/>
      <c r="V38" s="118"/>
      <c r="W38" s="118"/>
      <c r="X38" s="118"/>
      <c r="Y38" s="118"/>
      <c r="Z38" s="118"/>
    </row>
    <row r="39" spans="1:26" ht="17.399999999999999">
      <c r="A39" s="125" t="s">
        <v>11</v>
      </c>
      <c r="B39" s="118"/>
      <c r="C39" s="164" t="s">
        <v>298</v>
      </c>
      <c r="D39" s="165" t="s">
        <v>299</v>
      </c>
      <c r="E39" s="166" t="s">
        <v>300</v>
      </c>
      <c r="F39" s="168"/>
      <c r="G39" s="169" t="s">
        <v>301</v>
      </c>
      <c r="H39" s="118"/>
      <c r="I39" s="118"/>
      <c r="J39" s="118"/>
      <c r="K39" s="118"/>
      <c r="L39" s="118"/>
      <c r="M39" s="118"/>
      <c r="N39" s="118"/>
      <c r="O39" s="118"/>
      <c r="P39" s="118"/>
      <c r="Q39" s="118"/>
      <c r="R39" s="118"/>
      <c r="S39" s="118"/>
      <c r="T39" s="118"/>
      <c r="U39" s="118"/>
      <c r="V39" s="118"/>
      <c r="W39" s="118"/>
      <c r="X39" s="118"/>
      <c r="Y39" s="118"/>
      <c r="Z39" s="118"/>
    </row>
    <row r="40" spans="1:26" ht="17.399999999999999">
      <c r="A40" s="117" t="s">
        <v>269</v>
      </c>
      <c r="B40" s="118"/>
      <c r="C40" s="134"/>
      <c r="D40" s="135"/>
      <c r="E40" s="136"/>
      <c r="F40" s="118"/>
      <c r="G40" s="118"/>
      <c r="H40" s="118"/>
      <c r="I40" s="118"/>
      <c r="J40" s="118"/>
      <c r="K40" s="118"/>
      <c r="L40" s="118"/>
      <c r="M40" s="118"/>
      <c r="N40" s="118"/>
      <c r="O40" s="118"/>
      <c r="P40" s="118"/>
      <c r="Q40" s="118"/>
      <c r="R40" s="118"/>
      <c r="S40" s="118"/>
      <c r="T40" s="118"/>
      <c r="U40" s="118"/>
      <c r="V40" s="118"/>
      <c r="W40" s="118"/>
      <c r="X40" s="118"/>
      <c r="Y40" s="118"/>
      <c r="Z40" s="118"/>
    </row>
    <row r="41" spans="1:26" ht="17.399999999999999">
      <c r="A41" s="146"/>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spans="1:26" s="116" customFormat="1" ht="17.399999999999999">
      <c r="A42" s="170" t="s">
        <v>302</v>
      </c>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spans="1:26" ht="17.399999999999999">
      <c r="A43" s="117"/>
      <c r="B43" s="118"/>
      <c r="C43" s="118"/>
      <c r="D43" s="118"/>
      <c r="E43" s="118"/>
      <c r="F43" s="118"/>
      <c r="G43" s="118"/>
      <c r="H43" s="119"/>
      <c r="I43" s="119"/>
      <c r="J43" s="119"/>
      <c r="K43" s="118"/>
      <c r="L43" s="118"/>
      <c r="M43" s="118"/>
      <c r="N43" s="118"/>
      <c r="O43" s="118"/>
      <c r="P43" s="118"/>
      <c r="Q43" s="118"/>
      <c r="R43" s="118"/>
      <c r="S43" s="118"/>
      <c r="T43" s="118"/>
      <c r="U43" s="118"/>
      <c r="V43" s="118"/>
      <c r="W43" s="118"/>
      <c r="X43" s="118"/>
      <c r="Y43" s="118"/>
      <c r="Z43" s="118"/>
    </row>
    <row r="44" spans="1:26" ht="17.399999999999999">
      <c r="A44" s="118"/>
      <c r="B44" s="118"/>
      <c r="C44" s="404" t="s">
        <v>249</v>
      </c>
      <c r="D44" s="405"/>
      <c r="E44" s="406"/>
      <c r="F44" s="127"/>
      <c r="G44" s="137"/>
      <c r="H44" s="407" t="s">
        <v>303</v>
      </c>
      <c r="I44" s="408"/>
      <c r="J44" s="409"/>
      <c r="K44" s="118"/>
      <c r="L44" s="118"/>
      <c r="M44" s="118"/>
      <c r="N44" s="118"/>
      <c r="O44" s="118"/>
      <c r="P44" s="118"/>
      <c r="Q44" s="118"/>
      <c r="R44" s="118"/>
      <c r="S44" s="118"/>
      <c r="T44" s="118"/>
      <c r="U44" s="118"/>
      <c r="V44" s="118"/>
      <c r="W44" s="118"/>
      <c r="X44" s="118"/>
      <c r="Y44" s="118"/>
      <c r="Z44" s="118"/>
    </row>
    <row r="45" spans="1:26" ht="18">
      <c r="A45" s="117" t="s">
        <v>250</v>
      </c>
      <c r="B45" s="118"/>
      <c r="C45" s="149" t="s">
        <v>251</v>
      </c>
      <c r="D45" s="150" t="s">
        <v>252</v>
      </c>
      <c r="E45" s="151" t="s">
        <v>253</v>
      </c>
      <c r="F45" s="152" t="s">
        <v>279</v>
      </c>
      <c r="G45" s="153" t="s">
        <v>280</v>
      </c>
      <c r="H45" s="172" t="s">
        <v>304</v>
      </c>
      <c r="I45" s="191" t="s">
        <v>305</v>
      </c>
      <c r="J45" s="192" t="s">
        <v>306</v>
      </c>
      <c r="K45" s="118"/>
      <c r="L45" s="118"/>
      <c r="M45" s="118"/>
      <c r="N45" s="118"/>
      <c r="O45" s="118"/>
      <c r="P45" s="118"/>
      <c r="Q45" s="118"/>
      <c r="R45" s="118"/>
      <c r="S45" s="118"/>
      <c r="T45" s="118"/>
      <c r="U45" s="118"/>
      <c r="V45" s="118"/>
      <c r="W45" s="118"/>
      <c r="X45" s="118"/>
      <c r="Y45" s="118"/>
      <c r="Z45" s="118"/>
    </row>
    <row r="46" spans="1:26" ht="17.399999999999999">
      <c r="A46" s="125" t="s">
        <v>255</v>
      </c>
      <c r="B46" s="154"/>
      <c r="C46" s="155">
        <v>0.1</v>
      </c>
      <c r="D46" s="156">
        <v>0.05</v>
      </c>
      <c r="E46" s="157">
        <v>0.23</v>
      </c>
      <c r="F46" s="158"/>
      <c r="G46" s="159">
        <v>0.4</v>
      </c>
      <c r="H46" s="173"/>
      <c r="I46" s="173"/>
      <c r="J46" s="193"/>
      <c r="K46" s="118"/>
      <c r="L46" s="118"/>
      <c r="M46" s="118"/>
      <c r="N46" s="118"/>
      <c r="O46" s="118"/>
      <c r="P46" s="118"/>
      <c r="Q46" s="118"/>
      <c r="R46" s="118"/>
      <c r="S46" s="118"/>
      <c r="T46" s="118"/>
      <c r="U46" s="118"/>
      <c r="V46" s="118"/>
      <c r="W46" s="118"/>
      <c r="X46" s="118"/>
      <c r="Y46" s="118"/>
      <c r="Z46" s="118"/>
    </row>
    <row r="47" spans="1:26" ht="17.399999999999999">
      <c r="A47" s="125" t="s">
        <v>257</v>
      </c>
      <c r="C47" s="160" t="s">
        <v>281</v>
      </c>
      <c r="D47" s="161" t="s">
        <v>307</v>
      </c>
      <c r="E47" s="162" t="s">
        <v>283</v>
      </c>
      <c r="F47" s="158"/>
      <c r="G47" s="163" t="s">
        <v>284</v>
      </c>
      <c r="H47" s="173"/>
      <c r="I47" s="173"/>
      <c r="J47" s="193"/>
      <c r="K47" s="118"/>
      <c r="L47" s="118"/>
      <c r="M47" s="118"/>
      <c r="N47" s="118"/>
      <c r="O47" s="118"/>
      <c r="P47" s="118"/>
      <c r="Q47" s="118"/>
      <c r="R47" s="118"/>
      <c r="S47" s="118"/>
      <c r="T47" s="118"/>
      <c r="U47" s="118"/>
      <c r="V47" s="118"/>
      <c r="W47" s="118"/>
      <c r="X47" s="118"/>
      <c r="Y47" s="118"/>
      <c r="Z47" s="118"/>
    </row>
    <row r="48" spans="1:26" ht="17.399999999999999">
      <c r="A48" s="125" t="s">
        <v>259</v>
      </c>
      <c r="C48" s="160">
        <v>0.95</v>
      </c>
      <c r="D48" s="161">
        <v>0.92</v>
      </c>
      <c r="E48" s="162">
        <v>0.9</v>
      </c>
      <c r="F48" s="158"/>
      <c r="G48" s="159"/>
      <c r="H48" s="173"/>
      <c r="I48" s="173"/>
      <c r="J48" s="193"/>
      <c r="K48" s="118"/>
      <c r="L48" s="118"/>
      <c r="M48" s="118"/>
      <c r="N48" s="118"/>
      <c r="O48" s="118"/>
      <c r="P48" s="118"/>
      <c r="Q48" s="118"/>
      <c r="R48" s="118"/>
      <c r="S48" s="118"/>
      <c r="T48" s="118"/>
      <c r="U48" s="118"/>
      <c r="V48" s="118"/>
      <c r="W48" s="118"/>
      <c r="X48" s="118"/>
      <c r="Y48" s="118"/>
      <c r="Z48" s="118"/>
    </row>
    <row r="49" spans="1:26" ht="17.399999999999999">
      <c r="A49" s="125" t="s">
        <v>261</v>
      </c>
      <c r="B49" s="154"/>
      <c r="C49" s="160">
        <v>0.93</v>
      </c>
      <c r="D49" s="161">
        <v>0.9</v>
      </c>
      <c r="E49" s="162">
        <v>0.87</v>
      </c>
      <c r="F49" s="158"/>
      <c r="G49" s="159"/>
      <c r="H49" s="173"/>
      <c r="I49" s="173"/>
      <c r="J49" s="193"/>
      <c r="K49" s="118"/>
      <c r="L49" s="118"/>
      <c r="M49" s="118"/>
      <c r="N49" s="118"/>
      <c r="O49" s="118"/>
      <c r="P49" s="118"/>
      <c r="Q49" s="118"/>
      <c r="R49" s="118"/>
      <c r="S49" s="118"/>
      <c r="T49" s="118"/>
      <c r="U49" s="118"/>
      <c r="V49" s="118"/>
      <c r="W49" s="118"/>
      <c r="X49" s="118"/>
      <c r="Y49" s="118"/>
      <c r="Z49" s="118"/>
    </row>
    <row r="50" spans="1:26" ht="17.399999999999999">
      <c r="A50" s="125" t="s">
        <v>285</v>
      </c>
      <c r="B50" s="125"/>
      <c r="C50" s="164" t="s">
        <v>286</v>
      </c>
      <c r="D50" s="165" t="s">
        <v>287</v>
      </c>
      <c r="E50" s="166" t="s">
        <v>288</v>
      </c>
      <c r="F50" s="158"/>
      <c r="G50" s="159" t="s">
        <v>289</v>
      </c>
      <c r="H50" s="173"/>
      <c r="I50" s="173"/>
      <c r="J50" s="193"/>
      <c r="K50" s="118"/>
      <c r="L50" s="118"/>
      <c r="M50" s="118"/>
      <c r="N50" s="118"/>
      <c r="O50" s="118"/>
      <c r="P50" s="118"/>
      <c r="Q50" s="118"/>
      <c r="R50" s="118"/>
      <c r="S50" s="118"/>
      <c r="T50" s="118"/>
      <c r="U50" s="118"/>
      <c r="V50" s="118"/>
      <c r="W50" s="118"/>
      <c r="X50" s="118"/>
      <c r="Y50" s="118"/>
      <c r="Z50" s="118"/>
    </row>
    <row r="51" spans="1:26" ht="17.399999999999999">
      <c r="A51" s="125" t="s">
        <v>265</v>
      </c>
      <c r="B51" s="125"/>
      <c r="C51" s="164" t="s">
        <v>290</v>
      </c>
      <c r="D51" s="165" t="s">
        <v>291</v>
      </c>
      <c r="E51" s="166" t="s">
        <v>292</v>
      </c>
      <c r="F51" s="158"/>
      <c r="G51" s="167" t="s">
        <v>293</v>
      </c>
      <c r="H51" s="173"/>
      <c r="I51" s="173"/>
      <c r="J51" s="193"/>
      <c r="K51" s="118"/>
      <c r="L51" s="118"/>
      <c r="M51" s="118"/>
      <c r="N51" s="118"/>
      <c r="O51" s="118"/>
      <c r="P51" s="118"/>
      <c r="Q51" s="118"/>
      <c r="R51" s="118"/>
      <c r="S51" s="118"/>
      <c r="T51" s="118"/>
      <c r="U51" s="118"/>
      <c r="V51" s="118"/>
      <c r="W51" s="118"/>
      <c r="X51" s="118"/>
      <c r="Y51" s="118"/>
      <c r="Z51" s="118"/>
    </row>
    <row r="52" spans="1:26" ht="17.399999999999999">
      <c r="A52" s="125" t="s">
        <v>267</v>
      </c>
      <c r="C52" s="164" t="s">
        <v>294</v>
      </c>
      <c r="D52" s="165" t="s">
        <v>295</v>
      </c>
      <c r="E52" s="166" t="s">
        <v>296</v>
      </c>
      <c r="F52" s="158"/>
      <c r="G52" s="166" t="s">
        <v>297</v>
      </c>
      <c r="H52" s="173"/>
      <c r="I52" s="173"/>
      <c r="J52" s="193"/>
      <c r="K52" s="118"/>
      <c r="L52" s="118"/>
      <c r="M52" s="118"/>
      <c r="N52" s="118"/>
      <c r="O52" s="118"/>
      <c r="P52" s="118"/>
      <c r="Q52" s="118"/>
      <c r="R52" s="118"/>
      <c r="S52" s="118"/>
      <c r="T52" s="118"/>
      <c r="U52" s="118"/>
      <c r="V52" s="118"/>
      <c r="W52" s="118"/>
      <c r="X52" s="118"/>
      <c r="Y52" s="118"/>
      <c r="Z52" s="118"/>
    </row>
    <row r="53" spans="1:26" ht="17.399999999999999">
      <c r="A53" s="125" t="s">
        <v>11</v>
      </c>
      <c r="B53" s="118"/>
      <c r="C53" s="174" t="s">
        <v>298</v>
      </c>
      <c r="D53" s="175" t="s">
        <v>299</v>
      </c>
      <c r="E53" s="176" t="s">
        <v>300</v>
      </c>
      <c r="F53" s="168"/>
      <c r="G53" s="169" t="s">
        <v>301</v>
      </c>
      <c r="H53" s="177"/>
      <c r="I53" s="177"/>
      <c r="J53" s="194"/>
      <c r="K53" s="118"/>
      <c r="L53" s="118"/>
      <c r="M53" s="118"/>
      <c r="N53" s="118"/>
      <c r="O53" s="118"/>
      <c r="P53" s="118"/>
      <c r="Q53" s="118"/>
      <c r="R53" s="118"/>
      <c r="S53" s="118"/>
      <c r="T53" s="118"/>
      <c r="U53" s="118"/>
      <c r="V53" s="118"/>
      <c r="W53" s="118"/>
      <c r="X53" s="118"/>
      <c r="Y53" s="118"/>
      <c r="Z53" s="118"/>
    </row>
    <row r="54" spans="1:26" ht="17.399999999999999">
      <c r="A54" s="117" t="s">
        <v>269</v>
      </c>
      <c r="B54" s="137"/>
      <c r="C54" s="119"/>
      <c r="D54" s="119"/>
      <c r="E54" s="138"/>
      <c r="F54" s="118"/>
      <c r="G54" s="137"/>
      <c r="H54" s="177"/>
      <c r="I54" s="177"/>
      <c r="J54" s="194"/>
      <c r="K54" s="118"/>
      <c r="L54" s="118"/>
      <c r="M54" s="118"/>
      <c r="N54" s="118"/>
      <c r="O54" s="118"/>
      <c r="P54" s="118"/>
      <c r="Q54" s="118"/>
      <c r="R54" s="118"/>
      <c r="S54" s="118"/>
      <c r="T54" s="118"/>
      <c r="U54" s="118"/>
      <c r="V54" s="118"/>
      <c r="W54" s="118"/>
      <c r="X54" s="118"/>
      <c r="Y54" s="118"/>
      <c r="Z54" s="118"/>
    </row>
    <row r="55" spans="1:26" ht="17.399999999999999">
      <c r="A55" s="117"/>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spans="1:26" ht="38.1" customHeight="1">
      <c r="A56" s="178" t="s">
        <v>308</v>
      </c>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spans="1:26" ht="17.399999999999999">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spans="1:26" ht="17.399999999999999">
      <c r="A58" s="117" t="s">
        <v>309</v>
      </c>
      <c r="B58" s="117"/>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spans="1:26" ht="18">
      <c r="A59" s="118"/>
      <c r="B59" s="118"/>
      <c r="C59" s="180" t="s">
        <v>251</v>
      </c>
      <c r="D59" s="181" t="s">
        <v>252</v>
      </c>
      <c r="E59" s="182" t="s">
        <v>253</v>
      </c>
      <c r="F59" s="118"/>
      <c r="G59" s="118"/>
      <c r="H59" s="118"/>
      <c r="I59" s="118"/>
      <c r="J59" s="118"/>
      <c r="K59" s="118"/>
      <c r="L59" s="118"/>
      <c r="M59" s="118"/>
      <c r="N59" s="118"/>
      <c r="O59" s="118"/>
      <c r="P59" s="118"/>
      <c r="Q59" s="118"/>
      <c r="R59" s="118"/>
      <c r="S59" s="118"/>
      <c r="T59" s="118"/>
      <c r="U59" s="118"/>
      <c r="V59" s="118"/>
      <c r="W59" s="118"/>
      <c r="X59" s="118"/>
      <c r="Y59" s="118"/>
      <c r="Z59" s="118"/>
    </row>
    <row r="60" spans="1:26" ht="17.399999999999999">
      <c r="A60" s="125" t="s">
        <v>255</v>
      </c>
      <c r="C60" s="183">
        <v>0.1</v>
      </c>
      <c r="D60" s="184">
        <v>0.05</v>
      </c>
      <c r="E60" s="185">
        <v>0.23</v>
      </c>
      <c r="F60" s="118"/>
      <c r="G60" s="118"/>
      <c r="H60" s="118"/>
      <c r="I60" s="118"/>
      <c r="J60" s="118"/>
      <c r="K60" s="118"/>
      <c r="L60" s="118"/>
      <c r="M60" s="118"/>
      <c r="N60" s="118"/>
      <c r="O60" s="118"/>
      <c r="P60" s="118"/>
      <c r="Q60" s="118"/>
      <c r="R60" s="118"/>
      <c r="S60" s="118"/>
      <c r="T60" s="118"/>
      <c r="U60" s="118"/>
      <c r="V60" s="118"/>
      <c r="W60" s="118"/>
      <c r="X60" s="118"/>
      <c r="Y60" s="118"/>
      <c r="Z60" s="118"/>
    </row>
    <row r="61" spans="1:26" ht="17.399999999999999">
      <c r="A61" s="118"/>
      <c r="B61" s="118"/>
      <c r="C61" s="127">
        <v>10</v>
      </c>
      <c r="D61" s="118">
        <v>5</v>
      </c>
      <c r="E61" s="128">
        <v>23</v>
      </c>
      <c r="F61" s="118" t="s">
        <v>310</v>
      </c>
      <c r="G61" s="118"/>
      <c r="H61" s="118"/>
      <c r="I61" s="118"/>
      <c r="J61" s="118"/>
      <c r="K61" s="118"/>
      <c r="L61" s="118"/>
      <c r="M61" s="118"/>
      <c r="N61" s="118"/>
      <c r="O61" s="118"/>
      <c r="P61" s="118"/>
      <c r="Q61" s="118"/>
      <c r="R61" s="118"/>
      <c r="S61" s="118"/>
      <c r="T61" s="118"/>
      <c r="U61" s="118"/>
      <c r="V61" s="118"/>
      <c r="W61" s="118"/>
      <c r="X61" s="118"/>
      <c r="Y61" s="118"/>
      <c r="Z61" s="118"/>
    </row>
    <row r="62" spans="1:26" ht="17.399999999999999">
      <c r="A62" s="118"/>
      <c r="C62" s="127"/>
      <c r="D62" s="118"/>
      <c r="E62" s="128"/>
      <c r="F62" s="118"/>
      <c r="G62" s="186" t="s">
        <v>311</v>
      </c>
      <c r="H62" s="118"/>
      <c r="I62" s="195">
        <f>MAX(C61:E61)</f>
        <v>23</v>
      </c>
      <c r="J62" s="118"/>
      <c r="K62" s="118"/>
      <c r="L62" s="118"/>
      <c r="M62" s="118"/>
      <c r="N62" s="118"/>
      <c r="O62" s="118"/>
      <c r="P62" s="118"/>
      <c r="Q62" s="118"/>
      <c r="R62" s="118"/>
      <c r="S62" s="118"/>
      <c r="T62" s="118"/>
      <c r="U62" s="118"/>
      <c r="V62" s="118"/>
      <c r="W62" s="118"/>
      <c r="X62" s="118"/>
      <c r="Y62" s="118"/>
      <c r="Z62" s="118"/>
    </row>
    <row r="63" spans="1:26" ht="17.399999999999999">
      <c r="A63" s="117" t="s">
        <v>312</v>
      </c>
      <c r="B63" s="118"/>
      <c r="C63" s="134">
        <f>C61/I62</f>
        <v>0.434782608695652</v>
      </c>
      <c r="D63" s="187">
        <f>D61/I62</f>
        <v>0.217391304347826</v>
      </c>
      <c r="E63" s="188">
        <f>E61/I62</f>
        <v>1</v>
      </c>
      <c r="F63" s="118" t="s">
        <v>313</v>
      </c>
      <c r="G63" s="118"/>
      <c r="H63" s="118"/>
      <c r="I63" s="118"/>
      <c r="J63" s="118"/>
      <c r="K63" s="118"/>
      <c r="L63" s="118"/>
      <c r="M63" s="118"/>
      <c r="N63" s="118"/>
      <c r="O63" s="118"/>
      <c r="P63" s="118"/>
      <c r="Q63" s="118"/>
      <c r="R63" s="118"/>
      <c r="S63" s="118"/>
      <c r="T63" s="118"/>
      <c r="U63" s="118"/>
      <c r="V63" s="118"/>
      <c r="W63" s="118"/>
      <c r="X63" s="118"/>
      <c r="Y63" s="118"/>
      <c r="Z63" s="118"/>
    </row>
    <row r="64" spans="1:26" ht="17.399999999999999">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spans="1:26" ht="17.399999999999999">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spans="1:26" ht="17.399999999999999">
      <c r="A66" s="117" t="s">
        <v>314</v>
      </c>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spans="1:26" ht="18">
      <c r="A67" s="117"/>
      <c r="B67" s="118"/>
      <c r="C67" s="180" t="s">
        <v>251</v>
      </c>
      <c r="D67" s="181" t="s">
        <v>252</v>
      </c>
      <c r="E67" s="182" t="s">
        <v>253</v>
      </c>
      <c r="F67" s="118"/>
      <c r="G67" s="118"/>
      <c r="H67" s="118"/>
      <c r="I67" s="118"/>
      <c r="J67" s="118"/>
      <c r="K67" s="118"/>
      <c r="L67" s="118"/>
      <c r="M67" s="118"/>
      <c r="N67" s="118"/>
      <c r="O67" s="118"/>
      <c r="P67" s="118"/>
      <c r="Q67" s="118"/>
      <c r="R67" s="118"/>
      <c r="S67" s="118"/>
      <c r="T67" s="118"/>
      <c r="U67" s="118"/>
      <c r="V67" s="118"/>
      <c r="W67" s="118"/>
      <c r="X67" s="118"/>
      <c r="Y67" s="118"/>
      <c r="Z67" s="118"/>
    </row>
    <row r="68" spans="1:26" ht="17.399999999999999">
      <c r="A68" s="125" t="s">
        <v>257</v>
      </c>
      <c r="B68" s="118"/>
      <c r="C68" s="183" t="s">
        <v>281</v>
      </c>
      <c r="D68" s="184" t="s">
        <v>282</v>
      </c>
      <c r="E68" s="185" t="s">
        <v>283</v>
      </c>
      <c r="F68" s="118"/>
      <c r="G68" s="118"/>
      <c r="H68" s="118"/>
      <c r="I68" s="118"/>
      <c r="J68" s="118"/>
      <c r="K68" s="118"/>
      <c r="L68" s="118"/>
      <c r="M68" s="118"/>
      <c r="N68" s="118"/>
      <c r="O68" s="118"/>
      <c r="P68" s="118"/>
      <c r="Q68" s="118"/>
      <c r="R68" s="118"/>
      <c r="S68" s="118"/>
      <c r="T68" s="118"/>
      <c r="U68" s="118"/>
      <c r="V68" s="118"/>
      <c r="W68" s="118"/>
      <c r="X68" s="118"/>
      <c r="Y68" s="118"/>
      <c r="Z68" s="118"/>
    </row>
    <row r="69" spans="1:26" ht="17.399999999999999">
      <c r="C69" s="127">
        <v>20</v>
      </c>
      <c r="D69" s="118">
        <v>13</v>
      </c>
      <c r="E69" s="128">
        <v>9</v>
      </c>
      <c r="F69" s="118"/>
      <c r="G69" s="118"/>
      <c r="H69" s="118"/>
      <c r="I69" s="118"/>
      <c r="J69" s="118"/>
      <c r="K69" s="118"/>
      <c r="L69" s="118"/>
      <c r="M69" s="118"/>
      <c r="N69" s="118"/>
      <c r="O69" s="118"/>
      <c r="P69" s="118"/>
      <c r="Q69" s="118"/>
      <c r="R69" s="118"/>
      <c r="S69" s="118"/>
      <c r="T69" s="118"/>
      <c r="U69" s="118"/>
      <c r="V69" s="118"/>
      <c r="W69" s="118"/>
      <c r="X69" s="118"/>
      <c r="Y69" s="118"/>
      <c r="Z69" s="118"/>
    </row>
    <row r="70" spans="1:26" ht="17.399999999999999">
      <c r="B70" s="118"/>
      <c r="C70" s="127"/>
      <c r="D70" s="118"/>
      <c r="E70" s="128"/>
      <c r="G70" s="118" t="s">
        <v>315</v>
      </c>
      <c r="H70" s="118"/>
      <c r="I70" s="186">
        <v>10</v>
      </c>
      <c r="J70" s="118"/>
      <c r="K70" s="118"/>
      <c r="L70" s="118"/>
      <c r="M70" s="118"/>
      <c r="N70" s="118"/>
      <c r="O70" s="118"/>
      <c r="P70" s="118"/>
      <c r="Q70" s="118"/>
      <c r="R70" s="118"/>
      <c r="S70" s="118"/>
      <c r="T70" s="118"/>
      <c r="U70" s="118"/>
      <c r="V70" s="118"/>
      <c r="W70" s="118"/>
      <c r="X70" s="118"/>
      <c r="Y70" s="118"/>
      <c r="Z70" s="118"/>
    </row>
    <row r="71" spans="1:26" ht="17.399999999999999">
      <c r="B71" s="118"/>
      <c r="C71" s="127">
        <f>C69-I70</f>
        <v>10</v>
      </c>
      <c r="D71" s="118">
        <f>D69-I70</f>
        <v>3</v>
      </c>
      <c r="E71" s="128">
        <f>E69-I70</f>
        <v>-1</v>
      </c>
      <c r="F71" s="118" t="s">
        <v>316</v>
      </c>
      <c r="G71" s="118"/>
      <c r="H71" s="118"/>
      <c r="I71" s="118"/>
      <c r="J71" s="118"/>
      <c r="K71" s="118"/>
      <c r="L71" s="118"/>
      <c r="M71" s="118"/>
      <c r="N71" s="118"/>
      <c r="O71" s="118"/>
      <c r="P71" s="118"/>
      <c r="Q71" s="118"/>
      <c r="R71" s="118"/>
      <c r="S71" s="118"/>
      <c r="T71" s="118"/>
      <c r="U71" s="118"/>
      <c r="V71" s="118"/>
      <c r="W71" s="118"/>
      <c r="X71" s="118"/>
      <c r="Y71" s="118"/>
      <c r="Z71" s="118"/>
    </row>
    <row r="72" spans="1:26" ht="17.399999999999999">
      <c r="B72" s="118"/>
      <c r="C72" s="127"/>
      <c r="D72" s="118"/>
      <c r="E72" s="128"/>
      <c r="G72" s="118" t="s">
        <v>317</v>
      </c>
      <c r="H72" s="118"/>
      <c r="I72" s="118"/>
      <c r="J72" s="118"/>
      <c r="K72" s="118"/>
      <c r="L72" s="118"/>
      <c r="M72" s="118"/>
      <c r="N72" s="118"/>
      <c r="O72" s="118"/>
      <c r="P72" s="118"/>
      <c r="Q72" s="118"/>
      <c r="R72" s="118"/>
      <c r="S72" s="118"/>
      <c r="T72" s="118"/>
      <c r="U72" s="118"/>
      <c r="V72" s="118"/>
      <c r="W72" s="118"/>
      <c r="X72" s="118"/>
      <c r="Y72" s="118"/>
      <c r="Z72" s="118"/>
    </row>
    <row r="73" spans="1:26" ht="17.399999999999999">
      <c r="B73" s="118"/>
      <c r="C73" s="127"/>
      <c r="D73" s="118"/>
      <c r="E73" s="128"/>
      <c r="G73" s="196" t="s">
        <v>318</v>
      </c>
      <c r="H73" s="118"/>
      <c r="I73" s="118"/>
      <c r="J73" s="118"/>
      <c r="K73" s="118"/>
      <c r="L73" s="118"/>
      <c r="M73" s="186">
        <v>10</v>
      </c>
      <c r="N73" s="118"/>
      <c r="O73" s="118"/>
      <c r="P73" s="118"/>
      <c r="Q73" s="118"/>
      <c r="R73" s="118"/>
      <c r="S73" s="118"/>
      <c r="T73" s="118"/>
      <c r="U73" s="118"/>
      <c r="V73" s="118"/>
      <c r="W73" s="118"/>
      <c r="X73" s="118"/>
      <c r="Y73" s="118"/>
      <c r="Z73" s="118"/>
    </row>
    <row r="74" spans="1:26" ht="17.399999999999999">
      <c r="B74" s="118"/>
      <c r="C74" s="127">
        <f>C71/$M$73</f>
        <v>1</v>
      </c>
      <c r="D74" s="118">
        <f>D71/$M$73</f>
        <v>0.3</v>
      </c>
      <c r="E74" s="128">
        <f>E71/$M$73</f>
        <v>-0.1</v>
      </c>
      <c r="F74" s="118" t="s">
        <v>319</v>
      </c>
      <c r="G74" s="118"/>
      <c r="H74" s="118"/>
      <c r="I74" s="118"/>
      <c r="J74" s="118"/>
      <c r="K74" s="118"/>
      <c r="L74" s="118"/>
      <c r="M74" s="118"/>
      <c r="N74" s="118"/>
      <c r="O74" s="118"/>
      <c r="P74" s="118"/>
      <c r="Q74" s="118"/>
      <c r="R74" s="118"/>
      <c r="S74" s="118"/>
      <c r="T74" s="118"/>
      <c r="U74" s="118"/>
      <c r="V74" s="118"/>
      <c r="W74" s="118"/>
      <c r="X74" s="118"/>
      <c r="Y74" s="118"/>
      <c r="Z74" s="118"/>
    </row>
    <row r="75" spans="1:26" ht="17.399999999999999">
      <c r="B75" s="118"/>
      <c r="C75" s="127">
        <f>C74+0.5</f>
        <v>1.5</v>
      </c>
      <c r="D75" s="118">
        <f>D74+0.5</f>
        <v>0.8</v>
      </c>
      <c r="E75" s="197">
        <f>E74+0.5</f>
        <v>0.4</v>
      </c>
      <c r="F75" s="118" t="s">
        <v>320</v>
      </c>
      <c r="G75" s="118"/>
      <c r="H75" s="118"/>
      <c r="I75" s="118"/>
      <c r="J75" s="118"/>
      <c r="K75" s="118"/>
      <c r="L75" s="118"/>
      <c r="M75" s="118"/>
      <c r="N75" s="118"/>
      <c r="O75" s="118"/>
      <c r="P75" s="118"/>
      <c r="Q75" s="118"/>
      <c r="R75" s="118"/>
      <c r="S75" s="118"/>
      <c r="T75" s="118"/>
      <c r="U75" s="118"/>
      <c r="V75" s="118"/>
      <c r="W75" s="118"/>
      <c r="X75" s="118"/>
      <c r="Y75" s="118"/>
      <c r="Z75" s="118"/>
    </row>
    <row r="76" spans="1:26" ht="17.399999999999999">
      <c r="A76" s="117" t="s">
        <v>312</v>
      </c>
      <c r="B76" s="118"/>
      <c r="C76" s="134">
        <f>1-C75</f>
        <v>-0.5</v>
      </c>
      <c r="D76" s="135">
        <f>1-D75</f>
        <v>0.2</v>
      </c>
      <c r="E76" s="198">
        <f>1-E75</f>
        <v>0.6</v>
      </c>
      <c r="F76" s="118" t="s">
        <v>321</v>
      </c>
      <c r="G76" s="118"/>
      <c r="H76" s="118"/>
      <c r="I76" s="118"/>
      <c r="J76" s="118"/>
      <c r="K76" s="118"/>
      <c r="L76" s="118"/>
      <c r="M76" s="118"/>
      <c r="N76" s="118"/>
      <c r="O76" s="118"/>
      <c r="P76" s="118"/>
      <c r="Q76" s="118"/>
      <c r="R76" s="118"/>
      <c r="S76" s="118"/>
      <c r="T76" s="118"/>
      <c r="U76" s="118"/>
      <c r="V76" s="118"/>
      <c r="W76" s="118"/>
      <c r="X76" s="118"/>
      <c r="Y76" s="118"/>
      <c r="Z76" s="118"/>
    </row>
    <row r="77" spans="1:26" ht="17.399999999999999">
      <c r="A77" s="117"/>
      <c r="B77" s="118"/>
      <c r="C77" s="118"/>
      <c r="D77" s="118"/>
      <c r="E77" s="199"/>
      <c r="F77" s="118"/>
      <c r="G77" s="118"/>
      <c r="H77" s="118"/>
      <c r="I77" s="118"/>
      <c r="J77" s="118"/>
      <c r="K77" s="118"/>
      <c r="L77" s="118"/>
      <c r="M77" s="118"/>
      <c r="N77" s="118"/>
      <c r="O77" s="118"/>
      <c r="P77" s="118"/>
      <c r="Q77" s="118"/>
      <c r="R77" s="118"/>
      <c r="S77" s="118"/>
      <c r="T77" s="118"/>
      <c r="U77" s="118"/>
      <c r="V77" s="118"/>
      <c r="W77" s="118"/>
      <c r="X77" s="118"/>
      <c r="Y77" s="118"/>
      <c r="Z77" s="118"/>
    </row>
    <row r="78" spans="1:26" ht="17.399999999999999">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spans="1:26" ht="17.399999999999999">
      <c r="A79" s="117" t="s">
        <v>322</v>
      </c>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spans="1:26" ht="18">
      <c r="A80" s="117"/>
      <c r="B80" s="118"/>
      <c r="C80" s="180" t="s">
        <v>251</v>
      </c>
      <c r="D80" s="181" t="s">
        <v>252</v>
      </c>
      <c r="E80" s="182" t="s">
        <v>253</v>
      </c>
      <c r="F80" s="118"/>
      <c r="G80" s="118"/>
      <c r="H80" s="118"/>
      <c r="I80" s="118"/>
      <c r="J80" s="118"/>
      <c r="K80" s="118"/>
      <c r="L80" s="118"/>
      <c r="M80" s="118"/>
      <c r="N80" s="118"/>
      <c r="O80" s="118"/>
      <c r="P80" s="118"/>
      <c r="Q80" s="118"/>
      <c r="R80" s="118"/>
      <c r="S80" s="118"/>
      <c r="T80" s="118"/>
      <c r="U80" s="118"/>
      <c r="V80" s="118"/>
      <c r="W80" s="118"/>
      <c r="X80" s="118"/>
      <c r="Y80" s="118"/>
      <c r="Z80" s="118"/>
    </row>
    <row r="81" spans="1:26" ht="35.4">
      <c r="A81" s="150" t="s">
        <v>285</v>
      </c>
      <c r="C81" s="200" t="s">
        <v>286</v>
      </c>
      <c r="D81" s="201" t="s">
        <v>287</v>
      </c>
      <c r="E81" s="202" t="s">
        <v>288</v>
      </c>
      <c r="F81" s="118"/>
      <c r="G81" s="203" t="s">
        <v>323</v>
      </c>
      <c r="H81" s="204" t="s">
        <v>324</v>
      </c>
      <c r="I81" s="141"/>
      <c r="J81" s="189"/>
      <c r="K81" s="118"/>
      <c r="L81" s="118"/>
      <c r="M81" s="118"/>
      <c r="N81" s="118"/>
      <c r="O81" s="118"/>
      <c r="P81" s="118"/>
      <c r="Q81" s="118"/>
      <c r="R81" s="118"/>
      <c r="S81" s="118"/>
      <c r="T81" s="118"/>
      <c r="U81" s="118"/>
      <c r="V81" s="118"/>
      <c r="W81" s="118"/>
      <c r="X81" s="118"/>
      <c r="Y81" s="118"/>
      <c r="Z81" s="118"/>
    </row>
    <row r="82" spans="1:26" ht="17.399999999999999">
      <c r="B82" s="118"/>
      <c r="C82" s="205"/>
      <c r="D82" s="206"/>
      <c r="E82" s="207"/>
      <c r="G82" s="208">
        <v>1</v>
      </c>
      <c r="H82" s="209" t="s">
        <v>273</v>
      </c>
      <c r="I82" s="186"/>
      <c r="J82" s="128"/>
      <c r="K82" s="118"/>
      <c r="L82" s="118"/>
      <c r="M82" s="118"/>
      <c r="N82" s="118"/>
      <c r="O82" s="118"/>
      <c r="P82" s="118"/>
      <c r="Q82" s="118"/>
      <c r="R82" s="118"/>
      <c r="S82" s="118"/>
      <c r="T82" s="118"/>
      <c r="U82" s="118"/>
      <c r="V82" s="118"/>
      <c r="W82" s="118"/>
      <c r="X82" s="118"/>
      <c r="Y82" s="118"/>
      <c r="Z82" s="118"/>
    </row>
    <row r="83" spans="1:26" ht="17.399999999999999">
      <c r="B83" s="118"/>
      <c r="C83" s="205"/>
      <c r="D83" s="206"/>
      <c r="E83" s="207"/>
      <c r="F83" s="118"/>
      <c r="G83" s="208">
        <v>0.75</v>
      </c>
      <c r="H83" s="209" t="s">
        <v>274</v>
      </c>
      <c r="I83" s="118"/>
      <c r="J83" s="128"/>
      <c r="K83" s="118"/>
      <c r="L83" s="118"/>
      <c r="M83" s="118"/>
      <c r="N83" s="118"/>
      <c r="O83" s="118"/>
      <c r="P83" s="118"/>
      <c r="Q83" s="118"/>
      <c r="R83" s="118"/>
      <c r="S83" s="118"/>
      <c r="T83" s="118"/>
      <c r="U83" s="118"/>
      <c r="V83" s="118"/>
      <c r="W83" s="118"/>
      <c r="X83" s="118"/>
      <c r="Y83" s="118"/>
      <c r="Z83" s="118"/>
    </row>
    <row r="84" spans="1:26" ht="17.399999999999999">
      <c r="B84" s="118"/>
      <c r="C84" s="205"/>
      <c r="D84" s="206"/>
      <c r="E84" s="207"/>
      <c r="G84" s="208">
        <v>0.5</v>
      </c>
      <c r="H84" s="209" t="s">
        <v>275</v>
      </c>
      <c r="I84" s="118"/>
      <c r="J84" s="128"/>
      <c r="K84" s="118"/>
      <c r="L84" s="118"/>
      <c r="M84" s="118"/>
      <c r="N84" s="118"/>
      <c r="O84" s="118"/>
      <c r="P84" s="118"/>
      <c r="Q84" s="118"/>
      <c r="R84" s="118"/>
      <c r="S84" s="118"/>
      <c r="T84" s="118"/>
      <c r="U84" s="118"/>
      <c r="V84" s="118"/>
      <c r="W84" s="118"/>
      <c r="X84" s="118"/>
      <c r="Y84" s="118"/>
      <c r="Z84" s="118"/>
    </row>
    <row r="85" spans="1:26" ht="17.399999999999999">
      <c r="B85" s="118"/>
      <c r="C85" s="205"/>
      <c r="D85" s="206"/>
      <c r="E85" s="207"/>
      <c r="G85" s="208">
        <v>0.25</v>
      </c>
      <c r="H85" s="209" t="s">
        <v>276</v>
      </c>
      <c r="I85" s="118"/>
      <c r="J85" s="128"/>
      <c r="K85" s="118"/>
      <c r="L85" s="118"/>
      <c r="M85" s="186"/>
      <c r="N85" s="118"/>
      <c r="O85" s="118"/>
      <c r="P85" s="118"/>
      <c r="Q85" s="118"/>
      <c r="R85" s="118"/>
      <c r="S85" s="118"/>
      <c r="T85" s="118"/>
      <c r="U85" s="118"/>
      <c r="V85" s="118"/>
      <c r="W85" s="118"/>
      <c r="X85" s="118"/>
      <c r="Y85" s="118"/>
      <c r="Z85" s="118"/>
    </row>
    <row r="86" spans="1:26" ht="17.399999999999999">
      <c r="B86" s="118"/>
      <c r="C86" s="205"/>
      <c r="D86" s="206"/>
      <c r="E86" s="207"/>
      <c r="F86" s="118"/>
      <c r="G86" s="210">
        <v>0</v>
      </c>
      <c r="H86" s="211" t="s">
        <v>277</v>
      </c>
      <c r="I86" s="135"/>
      <c r="J86" s="136"/>
      <c r="K86" s="118"/>
      <c r="L86" s="118"/>
      <c r="M86" s="118"/>
      <c r="N86" s="118"/>
      <c r="O86" s="118"/>
      <c r="P86" s="118"/>
      <c r="Q86" s="118"/>
      <c r="R86" s="118"/>
      <c r="S86" s="118"/>
      <c r="T86" s="118"/>
      <c r="U86" s="118"/>
      <c r="V86" s="118"/>
      <c r="W86" s="118"/>
      <c r="X86" s="118"/>
      <c r="Y86" s="118"/>
      <c r="Z86" s="118"/>
    </row>
    <row r="87" spans="1:26" ht="17.399999999999999">
      <c r="A87" s="117" t="s">
        <v>312</v>
      </c>
      <c r="B87" s="118"/>
      <c r="C87" s="212">
        <v>0.25</v>
      </c>
      <c r="D87" s="213">
        <v>0.5</v>
      </c>
      <c r="E87" s="214">
        <v>0.25</v>
      </c>
      <c r="F87" s="118"/>
      <c r="G87" s="118"/>
      <c r="H87" s="118"/>
      <c r="I87" s="118"/>
      <c r="J87" s="118"/>
      <c r="K87" s="118"/>
      <c r="L87" s="118"/>
      <c r="M87" s="118"/>
      <c r="N87" s="118"/>
      <c r="O87" s="118"/>
      <c r="P87" s="118"/>
      <c r="Q87" s="118"/>
      <c r="R87" s="118"/>
      <c r="S87" s="118"/>
      <c r="T87" s="118"/>
      <c r="U87" s="118"/>
      <c r="V87" s="118"/>
      <c r="W87" s="118"/>
      <c r="X87" s="118"/>
      <c r="Y87" s="118"/>
      <c r="Z87" s="118"/>
    </row>
    <row r="88" spans="1:26" ht="17.399999999999999">
      <c r="A88" s="117"/>
      <c r="B88" s="118"/>
      <c r="C88" s="118"/>
      <c r="D88" s="118"/>
      <c r="E88" s="199"/>
      <c r="F88" s="118"/>
      <c r="G88" s="118"/>
      <c r="H88" s="118"/>
      <c r="I88" s="118"/>
      <c r="J88" s="118"/>
      <c r="K88" s="118"/>
      <c r="L88" s="118"/>
      <c r="M88" s="118"/>
      <c r="N88" s="118"/>
      <c r="O88" s="118"/>
      <c r="P88" s="118"/>
      <c r="Q88" s="118"/>
      <c r="R88" s="118"/>
      <c r="S88" s="118"/>
      <c r="T88" s="118"/>
      <c r="U88" s="118"/>
      <c r="V88" s="118"/>
      <c r="W88" s="118"/>
      <c r="X88" s="118"/>
      <c r="Y88" s="118"/>
      <c r="Z88" s="118"/>
    </row>
    <row r="89" spans="1:26" ht="17.399999999999999">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spans="1:26" ht="17.399999999999999">
      <c r="A90" s="117" t="s">
        <v>325</v>
      </c>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spans="1:26" ht="18">
      <c r="A91" s="117"/>
      <c r="B91" s="118"/>
      <c r="C91" s="180" t="s">
        <v>251</v>
      </c>
      <c r="D91" s="181" t="s">
        <v>252</v>
      </c>
      <c r="E91" s="182" t="s">
        <v>253</v>
      </c>
      <c r="F91" s="118"/>
      <c r="G91" s="118"/>
      <c r="H91" s="118"/>
      <c r="I91" s="118"/>
      <c r="J91" s="118"/>
      <c r="K91" s="118"/>
      <c r="L91" s="118"/>
      <c r="M91" s="118"/>
      <c r="N91" s="118"/>
      <c r="O91" s="118"/>
      <c r="P91" s="118"/>
      <c r="Q91" s="118"/>
      <c r="R91" s="118"/>
      <c r="S91" s="118"/>
      <c r="T91" s="118"/>
      <c r="U91" s="118"/>
      <c r="V91" s="118"/>
      <c r="W91" s="118"/>
      <c r="X91" s="118"/>
      <c r="Y91" s="118"/>
      <c r="Z91" s="118"/>
    </row>
    <row r="92" spans="1:26" ht="18">
      <c r="A92" s="150" t="s">
        <v>265</v>
      </c>
      <c r="C92" s="164" t="s">
        <v>290</v>
      </c>
      <c r="D92" s="165" t="s">
        <v>291</v>
      </c>
      <c r="E92" s="166" t="s">
        <v>292</v>
      </c>
      <c r="F92" s="118"/>
      <c r="G92" s="118"/>
      <c r="H92" s="118"/>
      <c r="I92" s="118"/>
      <c r="J92" s="118"/>
      <c r="K92" s="118"/>
      <c r="L92" s="118"/>
      <c r="M92" s="118"/>
      <c r="N92" s="118"/>
      <c r="O92" s="118"/>
      <c r="P92" s="118"/>
      <c r="Q92" s="118"/>
      <c r="R92" s="118"/>
      <c r="S92" s="118"/>
      <c r="T92" s="118"/>
      <c r="U92" s="118"/>
      <c r="V92" s="118"/>
      <c r="W92" s="118"/>
      <c r="X92" s="118"/>
      <c r="Y92" s="118"/>
      <c r="Z92" s="118"/>
    </row>
    <row r="93" spans="1:26" ht="17.399999999999999">
      <c r="C93" s="215">
        <v>12</v>
      </c>
      <c r="D93" s="216">
        <v>10</v>
      </c>
      <c r="E93" s="217">
        <v>15</v>
      </c>
      <c r="F93" s="118"/>
      <c r="G93" s="118"/>
      <c r="H93" s="118"/>
      <c r="I93" s="118"/>
      <c r="J93" s="118"/>
      <c r="K93" s="118"/>
      <c r="L93" s="118"/>
      <c r="M93" s="118"/>
      <c r="N93" s="118"/>
      <c r="O93" s="118"/>
      <c r="P93" s="118"/>
      <c r="Q93" s="118"/>
      <c r="R93" s="118"/>
      <c r="S93" s="118"/>
      <c r="T93" s="118"/>
      <c r="U93" s="118"/>
      <c r="V93" s="118"/>
      <c r="W93" s="118"/>
      <c r="X93" s="118"/>
      <c r="Y93" s="118"/>
      <c r="Z93" s="118"/>
    </row>
    <row r="94" spans="1:26" ht="17.399999999999999">
      <c r="C94" s="218"/>
      <c r="D94" s="219"/>
      <c r="E94" s="220"/>
      <c r="G94" s="186" t="s">
        <v>311</v>
      </c>
      <c r="I94" s="186">
        <f>MAX(C93:E93)</f>
        <v>15</v>
      </c>
      <c r="J94" s="118"/>
      <c r="K94" s="118"/>
      <c r="L94" s="118"/>
      <c r="M94" s="118"/>
      <c r="N94" s="118"/>
      <c r="O94" s="118"/>
      <c r="P94" s="118"/>
      <c r="Q94" s="118"/>
      <c r="R94" s="118"/>
      <c r="S94" s="118"/>
      <c r="T94" s="118"/>
      <c r="U94" s="118"/>
      <c r="V94" s="118"/>
      <c r="W94" s="118"/>
      <c r="X94" s="118"/>
      <c r="Y94" s="118"/>
      <c r="Z94" s="118"/>
    </row>
    <row r="95" spans="1:26" ht="17.399999999999999">
      <c r="C95" s="221">
        <f>C93/I94</f>
        <v>0.8</v>
      </c>
      <c r="D95" s="222">
        <f>D93/I94</f>
        <v>0.66666666666666696</v>
      </c>
      <c r="E95" s="197">
        <f>E93/I94</f>
        <v>1</v>
      </c>
      <c r="F95" s="118" t="s">
        <v>326</v>
      </c>
      <c r="G95" s="118"/>
      <c r="H95" s="118"/>
      <c r="I95" s="118"/>
      <c r="J95" s="118"/>
      <c r="K95" s="118"/>
      <c r="L95" s="118"/>
      <c r="M95" s="118"/>
      <c r="N95" s="118"/>
      <c r="O95" s="118"/>
      <c r="P95" s="118"/>
      <c r="Q95" s="118"/>
      <c r="R95" s="118"/>
      <c r="S95" s="118"/>
      <c r="T95" s="118"/>
      <c r="U95" s="118"/>
      <c r="V95" s="118"/>
      <c r="W95" s="118"/>
      <c r="X95" s="118"/>
      <c r="Y95" s="118"/>
      <c r="Z95" s="118"/>
    </row>
    <row r="96" spans="1:26" ht="17.399999999999999">
      <c r="A96" s="117" t="s">
        <v>312</v>
      </c>
      <c r="C96" s="223">
        <f>1-C95</f>
        <v>0.2</v>
      </c>
      <c r="D96" s="187">
        <f>1-D95</f>
        <v>0.33333333333333298</v>
      </c>
      <c r="E96" s="188">
        <f>1-E95</f>
        <v>0</v>
      </c>
      <c r="F96" s="118" t="s">
        <v>327</v>
      </c>
      <c r="G96" s="118"/>
      <c r="H96" s="118"/>
      <c r="I96" s="118"/>
      <c r="J96" s="118"/>
      <c r="K96" s="118"/>
      <c r="L96" s="118"/>
      <c r="M96" s="118"/>
      <c r="N96" s="118"/>
      <c r="O96" s="118"/>
      <c r="P96" s="118"/>
      <c r="Q96" s="118"/>
      <c r="R96" s="118"/>
      <c r="S96" s="118"/>
      <c r="T96" s="118"/>
      <c r="U96" s="118"/>
      <c r="V96" s="118"/>
      <c r="W96" s="118"/>
      <c r="X96" s="118"/>
      <c r="Y96" s="118"/>
      <c r="Z96" s="118"/>
    </row>
    <row r="97" spans="1:26" ht="17.399999999999999">
      <c r="A97" s="117"/>
      <c r="B97" s="118"/>
      <c r="C97" s="118"/>
      <c r="D97" s="118"/>
      <c r="E97" s="199"/>
      <c r="F97" s="118"/>
      <c r="G97" s="118"/>
      <c r="H97" s="118"/>
      <c r="I97" s="118"/>
      <c r="J97" s="118"/>
      <c r="K97" s="118"/>
      <c r="L97" s="118"/>
      <c r="M97" s="118"/>
      <c r="N97" s="118"/>
      <c r="O97" s="118"/>
      <c r="P97" s="118"/>
      <c r="Q97" s="118"/>
      <c r="R97" s="118"/>
      <c r="S97" s="118"/>
      <c r="T97" s="118"/>
      <c r="U97" s="118"/>
      <c r="V97" s="118"/>
      <c r="W97" s="118"/>
      <c r="X97" s="118"/>
      <c r="Y97" s="118"/>
      <c r="Z97" s="118"/>
    </row>
    <row r="98" spans="1:26" ht="17.399999999999999">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spans="1:26" ht="17.399999999999999">
      <c r="A99" s="117" t="s">
        <v>325</v>
      </c>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spans="1:26" ht="18">
      <c r="A100" s="117"/>
      <c r="B100" s="118"/>
      <c r="C100" s="180" t="s">
        <v>251</v>
      </c>
      <c r="D100" s="181" t="s">
        <v>252</v>
      </c>
      <c r="E100" s="182" t="s">
        <v>253</v>
      </c>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spans="1:26" ht="18">
      <c r="A101" s="150" t="s">
        <v>267</v>
      </c>
      <c r="C101" s="164" t="s">
        <v>294</v>
      </c>
      <c r="D101" s="165" t="s">
        <v>295</v>
      </c>
      <c r="E101" s="166" t="s">
        <v>296</v>
      </c>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spans="1:26" ht="17.399999999999999">
      <c r="C102" s="215">
        <v>10</v>
      </c>
      <c r="D102" s="216">
        <v>15</v>
      </c>
      <c r="E102" s="217">
        <v>9</v>
      </c>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spans="1:26" ht="17.399999999999999">
      <c r="C103" s="218"/>
      <c r="D103" s="219"/>
      <c r="E103" s="220"/>
      <c r="G103" s="186" t="s">
        <v>311</v>
      </c>
      <c r="I103" s="186">
        <f>MAX(C102:E102)</f>
        <v>15</v>
      </c>
      <c r="J103" s="118"/>
      <c r="K103" s="118"/>
      <c r="L103" s="118"/>
      <c r="M103" s="118"/>
      <c r="N103" s="118"/>
      <c r="O103" s="118"/>
      <c r="P103" s="118"/>
      <c r="Q103" s="118"/>
      <c r="R103" s="118"/>
      <c r="S103" s="118"/>
      <c r="T103" s="118"/>
      <c r="U103" s="118"/>
      <c r="V103" s="118"/>
      <c r="W103" s="118"/>
      <c r="X103" s="118"/>
      <c r="Y103" s="118"/>
      <c r="Z103" s="118"/>
    </row>
    <row r="104" spans="1:26" ht="17.399999999999999">
      <c r="C104" s="221">
        <f>C102/I103</f>
        <v>0.66666666666666696</v>
      </c>
      <c r="D104" s="222">
        <f>D102/I103</f>
        <v>1</v>
      </c>
      <c r="E104" s="197">
        <f>E102/I103</f>
        <v>0.6</v>
      </c>
      <c r="F104" s="118" t="s">
        <v>326</v>
      </c>
      <c r="G104" s="118"/>
      <c r="H104" s="118"/>
      <c r="I104" s="118"/>
      <c r="J104" s="118"/>
      <c r="K104" s="118"/>
      <c r="L104" s="118"/>
      <c r="M104" s="118"/>
      <c r="N104" s="118"/>
      <c r="O104" s="118"/>
      <c r="P104" s="118"/>
      <c r="Q104" s="118"/>
      <c r="R104" s="118"/>
      <c r="S104" s="118"/>
      <c r="T104" s="118"/>
      <c r="U104" s="118"/>
      <c r="V104" s="118"/>
      <c r="W104" s="118"/>
      <c r="X104" s="118"/>
      <c r="Y104" s="118"/>
      <c r="Z104" s="118"/>
    </row>
    <row r="105" spans="1:26" ht="17.399999999999999">
      <c r="A105" s="117" t="s">
        <v>312</v>
      </c>
      <c r="C105" s="223">
        <f>1-C104</f>
        <v>0.33333333333333298</v>
      </c>
      <c r="D105" s="187">
        <f>1-D104</f>
        <v>0</v>
      </c>
      <c r="E105" s="188">
        <f>1-E104</f>
        <v>0.4</v>
      </c>
      <c r="F105" s="118" t="s">
        <v>327</v>
      </c>
      <c r="G105" s="118"/>
      <c r="H105" s="118"/>
      <c r="I105" s="118"/>
      <c r="J105" s="118"/>
      <c r="K105" s="118"/>
      <c r="L105" s="118"/>
      <c r="M105" s="118"/>
      <c r="N105" s="118"/>
      <c r="O105" s="118"/>
      <c r="P105" s="118"/>
      <c r="Q105" s="118"/>
      <c r="R105" s="118"/>
      <c r="S105" s="118"/>
      <c r="T105" s="118"/>
      <c r="U105" s="118"/>
      <c r="V105" s="118"/>
      <c r="W105" s="118"/>
      <c r="X105" s="118"/>
      <c r="Y105" s="118"/>
      <c r="Z105" s="118"/>
    </row>
    <row r="106" spans="1:26" ht="17.399999999999999">
      <c r="A106" s="117"/>
      <c r="C106" s="222"/>
      <c r="D106" s="222"/>
      <c r="E106" s="222"/>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spans="1:26" ht="17.399999999999999">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spans="1:26" ht="17.399999999999999">
      <c r="A108" s="117" t="s">
        <v>325</v>
      </c>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spans="1:26" ht="18">
      <c r="A109" s="117"/>
      <c r="B109" s="118"/>
      <c r="C109" s="180" t="s">
        <v>251</v>
      </c>
      <c r="D109" s="181" t="s">
        <v>252</v>
      </c>
      <c r="E109" s="182" t="s">
        <v>253</v>
      </c>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spans="1:26" ht="17.399999999999999">
      <c r="A110" s="125" t="s">
        <v>11</v>
      </c>
      <c r="C110" s="164" t="s">
        <v>298</v>
      </c>
      <c r="D110" s="165" t="s">
        <v>299</v>
      </c>
      <c r="E110" s="166" t="s">
        <v>300</v>
      </c>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spans="1:26" ht="17.399999999999999">
      <c r="C111" s="215">
        <v>20</v>
      </c>
      <c r="D111" s="216">
        <v>21</v>
      </c>
      <c r="E111" s="217">
        <v>19</v>
      </c>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spans="1:26" ht="17.399999999999999">
      <c r="C112" s="218"/>
      <c r="D112" s="219"/>
      <c r="E112" s="220"/>
      <c r="G112" s="186" t="s">
        <v>311</v>
      </c>
      <c r="I112" s="186">
        <f>MAX(C111:E111)</f>
        <v>21</v>
      </c>
      <c r="J112" s="118"/>
      <c r="K112" s="118"/>
      <c r="L112" s="118"/>
      <c r="M112" s="118"/>
      <c r="N112" s="118"/>
      <c r="O112" s="118"/>
      <c r="P112" s="118"/>
      <c r="Q112" s="118"/>
      <c r="R112" s="118"/>
      <c r="S112" s="118"/>
      <c r="T112" s="118"/>
      <c r="U112" s="118"/>
      <c r="V112" s="118"/>
      <c r="W112" s="118"/>
      <c r="X112" s="118"/>
      <c r="Y112" s="118"/>
      <c r="Z112" s="118"/>
    </row>
    <row r="113" spans="1:26" ht="17.399999999999999">
      <c r="C113" s="221">
        <f>C111/I112</f>
        <v>0.952380952380952</v>
      </c>
      <c r="D113" s="222">
        <f>D111/I112</f>
        <v>1</v>
      </c>
      <c r="E113" s="197">
        <f>E111/I112</f>
        <v>0.90476190476190499</v>
      </c>
      <c r="F113" s="118" t="s">
        <v>326</v>
      </c>
      <c r="G113" s="118"/>
      <c r="H113" s="118"/>
      <c r="I113" s="118"/>
      <c r="J113" s="118"/>
      <c r="K113" s="118"/>
      <c r="L113" s="118"/>
      <c r="M113" s="118"/>
      <c r="N113" s="118"/>
      <c r="O113" s="118"/>
      <c r="P113" s="118"/>
      <c r="Q113" s="118"/>
      <c r="R113" s="118"/>
      <c r="S113" s="118"/>
      <c r="T113" s="118"/>
      <c r="U113" s="118"/>
      <c r="V113" s="118"/>
      <c r="W113" s="118"/>
      <c r="X113" s="118"/>
      <c r="Y113" s="118"/>
      <c r="Z113" s="118"/>
    </row>
    <row r="114" spans="1:26" ht="17.399999999999999">
      <c r="A114" s="117" t="s">
        <v>312</v>
      </c>
      <c r="C114" s="223">
        <f>1-C113</f>
        <v>4.76190476190477E-2</v>
      </c>
      <c r="D114" s="187">
        <f>1-D113</f>
        <v>0</v>
      </c>
      <c r="E114" s="188">
        <f>1-E113</f>
        <v>9.5238095238095205E-2</v>
      </c>
      <c r="F114" s="118" t="s">
        <v>327</v>
      </c>
      <c r="G114" s="118"/>
      <c r="H114" s="118"/>
      <c r="I114" s="118"/>
      <c r="J114" s="118"/>
      <c r="K114" s="118"/>
      <c r="L114" s="118"/>
      <c r="M114" s="118"/>
      <c r="N114" s="118"/>
      <c r="O114" s="118"/>
      <c r="P114" s="118"/>
      <c r="Q114" s="118"/>
      <c r="R114" s="118"/>
      <c r="S114" s="118"/>
      <c r="T114" s="118"/>
      <c r="U114" s="118"/>
      <c r="V114" s="118"/>
      <c r="W114" s="118"/>
      <c r="X114" s="118"/>
      <c r="Y114" s="118"/>
      <c r="Z114" s="118"/>
    </row>
    <row r="115" spans="1:26" ht="17.399999999999999">
      <c r="B115" s="118"/>
      <c r="C115" s="118"/>
      <c r="D115" s="118"/>
      <c r="E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spans="1:26" ht="17.399999999999999">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spans="1:26" ht="17.399999999999999">
      <c r="A117" s="118"/>
      <c r="B117" s="118"/>
      <c r="C117" s="404" t="s">
        <v>249</v>
      </c>
      <c r="D117" s="405"/>
      <c r="E117" s="406"/>
      <c r="F117" s="118"/>
      <c r="G117" s="118"/>
      <c r="H117" s="407" t="s">
        <v>303</v>
      </c>
      <c r="I117" s="408"/>
      <c r="J117" s="409"/>
      <c r="K117" s="118"/>
      <c r="L117" s="117"/>
      <c r="M117" s="118"/>
      <c r="N117" s="118"/>
      <c r="O117" s="117"/>
      <c r="P117" s="118"/>
      <c r="Q117" s="118"/>
      <c r="R117" s="118"/>
      <c r="S117" s="118"/>
      <c r="T117" s="118"/>
      <c r="U117" s="118"/>
      <c r="V117" s="118"/>
      <c r="W117" s="118"/>
      <c r="X117" s="118"/>
      <c r="Y117" s="118"/>
      <c r="Z117" s="118"/>
    </row>
    <row r="118" spans="1:26" ht="18">
      <c r="A118" s="117" t="s">
        <v>250</v>
      </c>
      <c r="B118" s="118"/>
      <c r="C118" s="122" t="s">
        <v>251</v>
      </c>
      <c r="D118" s="123" t="s">
        <v>252</v>
      </c>
      <c r="E118" s="124" t="s">
        <v>253</v>
      </c>
      <c r="F118" s="152" t="s">
        <v>279</v>
      </c>
      <c r="G118" s="153" t="s">
        <v>280</v>
      </c>
      <c r="H118" s="224" t="s">
        <v>251</v>
      </c>
      <c r="I118" s="238" t="s">
        <v>252</v>
      </c>
      <c r="J118" s="239" t="s">
        <v>253</v>
      </c>
      <c r="K118" s="117"/>
      <c r="L118" s="150"/>
      <c r="M118" s="150"/>
      <c r="N118" s="150"/>
      <c r="O118" s="118"/>
      <c r="P118" s="118"/>
      <c r="Q118" s="118"/>
      <c r="R118" s="118"/>
      <c r="S118" s="118"/>
      <c r="T118" s="118"/>
      <c r="U118" s="118"/>
      <c r="V118" s="118"/>
      <c r="W118" s="118"/>
      <c r="X118" s="118"/>
      <c r="Y118" s="118"/>
      <c r="Z118" s="118"/>
    </row>
    <row r="119" spans="1:26" ht="17.399999999999999">
      <c r="A119" s="125" t="s">
        <v>328</v>
      </c>
      <c r="B119" s="154"/>
      <c r="C119" s="200">
        <v>10</v>
      </c>
      <c r="D119" s="201">
        <v>5</v>
      </c>
      <c r="E119" s="202">
        <v>23</v>
      </c>
      <c r="F119" s="225"/>
      <c r="G119" s="226"/>
      <c r="H119" s="227">
        <f>C63</f>
        <v>0.434782608695652</v>
      </c>
      <c r="I119" s="240">
        <f>D63</f>
        <v>0.217391304347826</v>
      </c>
      <c r="J119" s="241">
        <f>E63</f>
        <v>1</v>
      </c>
      <c r="K119" s="117" t="s">
        <v>309</v>
      </c>
      <c r="L119" s="118"/>
      <c r="M119" s="118"/>
      <c r="N119" s="118"/>
      <c r="O119" s="118"/>
      <c r="P119" s="118"/>
      <c r="Q119" s="118"/>
      <c r="R119" s="118"/>
      <c r="S119" s="118"/>
      <c r="T119" s="118"/>
      <c r="U119" s="118"/>
      <c r="V119" s="118"/>
      <c r="W119" s="118"/>
      <c r="X119" s="118"/>
      <c r="Y119" s="118"/>
      <c r="Z119" s="118"/>
    </row>
    <row r="120" spans="1:26" ht="17.399999999999999">
      <c r="A120" s="125" t="s">
        <v>329</v>
      </c>
      <c r="C120" s="164">
        <v>20</v>
      </c>
      <c r="D120" s="165">
        <v>13</v>
      </c>
      <c r="E120" s="166">
        <v>9</v>
      </c>
      <c r="F120" s="225"/>
      <c r="G120" s="228"/>
      <c r="H120" s="229">
        <f>C76</f>
        <v>-0.5</v>
      </c>
      <c r="I120" s="242">
        <f>D76</f>
        <v>0.2</v>
      </c>
      <c r="J120" s="243">
        <f>E76</f>
        <v>0.6</v>
      </c>
      <c r="K120" s="117" t="s">
        <v>309</v>
      </c>
      <c r="L120" s="118"/>
      <c r="M120" s="118"/>
      <c r="N120" s="118"/>
      <c r="O120" s="118"/>
      <c r="P120" s="118"/>
      <c r="Q120" s="118"/>
      <c r="R120" s="118"/>
      <c r="S120" s="118"/>
      <c r="T120" s="118"/>
      <c r="U120" s="118"/>
      <c r="V120" s="118"/>
      <c r="W120" s="118"/>
      <c r="X120" s="118"/>
      <c r="Y120" s="118"/>
      <c r="Z120" s="118"/>
    </row>
    <row r="121" spans="1:26" ht="17.399999999999999">
      <c r="A121" s="125" t="s">
        <v>330</v>
      </c>
      <c r="C121" s="164">
        <v>95</v>
      </c>
      <c r="D121" s="165">
        <v>92</v>
      </c>
      <c r="E121" s="166">
        <v>90</v>
      </c>
      <c r="F121" s="225"/>
      <c r="G121" s="226"/>
      <c r="H121" s="229">
        <f t="shared" ref="H121:J122" si="0">C121/100</f>
        <v>0.95</v>
      </c>
      <c r="I121" s="242">
        <f t="shared" si="0"/>
        <v>0.92</v>
      </c>
      <c r="J121" s="243">
        <f t="shared" si="0"/>
        <v>0.9</v>
      </c>
      <c r="K121" s="118" t="s">
        <v>331</v>
      </c>
      <c r="L121" s="118"/>
      <c r="M121" s="118"/>
      <c r="N121" s="118"/>
      <c r="O121" s="118"/>
      <c r="P121" s="118"/>
      <c r="Q121" s="118"/>
      <c r="R121" s="118"/>
      <c r="S121" s="118"/>
      <c r="T121" s="118"/>
      <c r="U121" s="118"/>
      <c r="V121" s="118"/>
      <c r="W121" s="118"/>
      <c r="X121" s="118"/>
      <c r="Y121" s="118"/>
      <c r="Z121" s="118"/>
    </row>
    <row r="122" spans="1:26" ht="17.399999999999999">
      <c r="A122" s="125" t="s">
        <v>332</v>
      </c>
      <c r="B122" s="154"/>
      <c r="C122" s="164">
        <v>93</v>
      </c>
      <c r="D122" s="165">
        <v>90</v>
      </c>
      <c r="E122" s="166">
        <v>87</v>
      </c>
      <c r="F122" s="230"/>
      <c r="G122" s="231"/>
      <c r="H122" s="229">
        <f t="shared" si="0"/>
        <v>0.93</v>
      </c>
      <c r="I122" s="242">
        <f t="shared" si="0"/>
        <v>0.9</v>
      </c>
      <c r="J122" s="243">
        <f t="shared" si="0"/>
        <v>0.87</v>
      </c>
      <c r="K122" s="118" t="s">
        <v>331</v>
      </c>
      <c r="L122" s="118"/>
      <c r="M122" s="118"/>
      <c r="N122" s="118"/>
      <c r="O122" s="118"/>
      <c r="P122" s="118"/>
      <c r="Q122" s="118"/>
      <c r="R122" s="118"/>
      <c r="S122" s="118"/>
      <c r="T122" s="118"/>
      <c r="U122" s="118"/>
      <c r="V122" s="118"/>
      <c r="W122" s="118"/>
      <c r="X122" s="118"/>
      <c r="Y122" s="118"/>
      <c r="Z122" s="118"/>
    </row>
    <row r="123" spans="1:26" ht="17.399999999999999">
      <c r="A123" s="125" t="s">
        <v>333</v>
      </c>
      <c r="B123" s="125"/>
      <c r="C123" s="164">
        <v>10</v>
      </c>
      <c r="D123" s="165">
        <v>6</v>
      </c>
      <c r="E123" s="166">
        <v>10</v>
      </c>
      <c r="F123" s="225"/>
      <c r="G123" s="232"/>
      <c r="H123" s="229">
        <f>C87</f>
        <v>0.25</v>
      </c>
      <c r="I123" s="242">
        <f>D87</f>
        <v>0.5</v>
      </c>
      <c r="J123" s="243">
        <f>E87</f>
        <v>0.25</v>
      </c>
      <c r="K123" s="117" t="s">
        <v>334</v>
      </c>
      <c r="L123" s="118"/>
      <c r="M123" s="118"/>
      <c r="N123" s="118"/>
      <c r="O123" s="118"/>
      <c r="P123" s="118"/>
      <c r="Q123" s="118"/>
      <c r="R123" s="118"/>
      <c r="S123" s="118"/>
      <c r="T123" s="118"/>
      <c r="U123" s="118"/>
      <c r="V123" s="118"/>
      <c r="W123" s="118"/>
      <c r="X123" s="118"/>
      <c r="Y123" s="118"/>
      <c r="Z123" s="118"/>
    </row>
    <row r="124" spans="1:26" ht="17.399999999999999">
      <c r="A124" s="125" t="s">
        <v>335</v>
      </c>
      <c r="B124" s="125"/>
      <c r="C124" s="164">
        <v>12</v>
      </c>
      <c r="D124" s="165">
        <v>10</v>
      </c>
      <c r="E124" s="166">
        <v>15</v>
      </c>
      <c r="F124" s="225"/>
      <c r="G124" s="226"/>
      <c r="H124" s="229">
        <f>C96</f>
        <v>0.2</v>
      </c>
      <c r="I124" s="242">
        <f>D96</f>
        <v>0.33333333333333298</v>
      </c>
      <c r="J124" s="243">
        <f>E96</f>
        <v>0</v>
      </c>
      <c r="K124" s="117" t="s">
        <v>309</v>
      </c>
      <c r="L124" s="118"/>
      <c r="M124" s="118"/>
      <c r="N124" s="118"/>
      <c r="O124" s="118"/>
      <c r="P124" s="118"/>
      <c r="Q124" s="118"/>
      <c r="R124" s="118"/>
      <c r="S124" s="118"/>
      <c r="T124" s="118"/>
      <c r="U124" s="118"/>
      <c r="V124" s="118"/>
      <c r="W124" s="118"/>
      <c r="X124" s="118"/>
      <c r="Y124" s="118"/>
      <c r="Z124" s="118"/>
    </row>
    <row r="125" spans="1:26" ht="17.399999999999999">
      <c r="A125" s="125" t="s">
        <v>336</v>
      </c>
      <c r="C125" s="164">
        <v>10</v>
      </c>
      <c r="D125" s="165">
        <v>15</v>
      </c>
      <c r="E125" s="166">
        <v>9</v>
      </c>
      <c r="F125" s="225"/>
      <c r="G125" s="226"/>
      <c r="H125" s="229">
        <f>C105</f>
        <v>0.33333333333333298</v>
      </c>
      <c r="I125" s="242">
        <f>D105</f>
        <v>0</v>
      </c>
      <c r="J125" s="243">
        <f>E105</f>
        <v>0.4</v>
      </c>
      <c r="K125" s="117" t="s">
        <v>309</v>
      </c>
      <c r="L125" s="118"/>
      <c r="M125" s="118"/>
      <c r="N125" s="118"/>
      <c r="O125" s="118"/>
      <c r="P125" s="118"/>
      <c r="Q125" s="118"/>
      <c r="R125" s="118"/>
      <c r="S125" s="118"/>
      <c r="T125" s="118"/>
      <c r="U125" s="118"/>
      <c r="V125" s="118"/>
      <c r="W125" s="118"/>
      <c r="X125" s="118"/>
      <c r="Y125" s="118"/>
      <c r="Z125" s="118"/>
    </row>
    <row r="126" spans="1:26" ht="17.399999999999999">
      <c r="A126" s="125" t="s">
        <v>337</v>
      </c>
      <c r="B126" s="118"/>
      <c r="C126" s="174">
        <v>20</v>
      </c>
      <c r="D126" s="175">
        <v>21</v>
      </c>
      <c r="E126" s="176">
        <v>19</v>
      </c>
      <c r="F126" s="233"/>
      <c r="G126" s="234"/>
      <c r="H126" s="235">
        <f>C114</f>
        <v>4.76190476190477E-2</v>
      </c>
      <c r="I126" s="244">
        <f>D114</f>
        <v>0</v>
      </c>
      <c r="J126" s="245">
        <f>E114</f>
        <v>9.5238095238095205E-2</v>
      </c>
      <c r="K126" s="117" t="s">
        <v>314</v>
      </c>
      <c r="L126" s="118"/>
      <c r="M126" s="118"/>
      <c r="N126" s="118"/>
      <c r="O126" s="118"/>
      <c r="P126" s="118"/>
      <c r="Q126" s="118"/>
      <c r="R126" s="118"/>
      <c r="S126" s="118"/>
      <c r="T126" s="118"/>
      <c r="U126" s="118"/>
      <c r="V126" s="118"/>
      <c r="W126" s="118"/>
      <c r="X126" s="118"/>
      <c r="Y126" s="118"/>
      <c r="Z126" s="118"/>
    </row>
    <row r="127" spans="1:26" ht="17.399999999999999">
      <c r="A127" s="117" t="s">
        <v>269</v>
      </c>
      <c r="B127" s="118"/>
      <c r="C127" s="143"/>
      <c r="D127" s="143"/>
      <c r="E127" s="143"/>
      <c r="F127" s="118"/>
      <c r="G127" s="137"/>
      <c r="H127" s="236">
        <f t="shared" ref="H127:J127" si="1">SUM(H119:H126)</f>
        <v>2.6457349896480302</v>
      </c>
      <c r="I127" s="236">
        <f t="shared" si="1"/>
        <v>3.0707246376811601</v>
      </c>
      <c r="J127" s="246">
        <f t="shared" si="1"/>
        <v>4.1152380952380998</v>
      </c>
      <c r="K127" s="118"/>
      <c r="L127" s="118"/>
      <c r="M127" s="118"/>
      <c r="N127" s="118"/>
      <c r="O127" s="118"/>
      <c r="P127" s="118"/>
      <c r="Q127" s="118"/>
      <c r="R127" s="118"/>
      <c r="S127" s="118"/>
      <c r="T127" s="118"/>
      <c r="U127" s="118"/>
      <c r="V127" s="118"/>
      <c r="W127" s="118"/>
      <c r="X127" s="118"/>
      <c r="Y127" s="118"/>
      <c r="Z127" s="118"/>
    </row>
    <row r="128" spans="1:26" ht="17.399999999999999">
      <c r="A128" s="146"/>
      <c r="B128" s="119"/>
      <c r="C128" s="119"/>
      <c r="D128" s="119"/>
      <c r="E128" s="119"/>
      <c r="F128" s="119"/>
      <c r="G128" s="119"/>
      <c r="H128" s="237"/>
      <c r="I128" s="237"/>
      <c r="J128" s="237"/>
      <c r="K128" s="119"/>
      <c r="L128" s="119"/>
      <c r="M128" s="119"/>
      <c r="N128" s="119"/>
      <c r="O128" s="119"/>
      <c r="P128" s="119"/>
      <c r="Q128" s="119"/>
      <c r="R128" s="119"/>
      <c r="S128" s="119"/>
      <c r="T128" s="119"/>
      <c r="U128" s="119"/>
      <c r="V128" s="119"/>
      <c r="W128" s="119"/>
      <c r="X128" s="119"/>
      <c r="Y128" s="119"/>
      <c r="Z128" s="119"/>
    </row>
    <row r="129" spans="1:26" ht="17.399999999999999">
      <c r="A129" s="147" t="s">
        <v>338</v>
      </c>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spans="1:26" ht="17.399999999999999">
      <c r="A130" s="117"/>
      <c r="B130" s="118"/>
      <c r="C130" s="118"/>
      <c r="D130" s="118"/>
      <c r="E130" s="118"/>
      <c r="F130" s="118"/>
      <c r="G130" s="118"/>
      <c r="H130" s="119"/>
      <c r="I130" s="119"/>
      <c r="J130" s="119"/>
      <c r="K130" s="266"/>
      <c r="L130" s="118"/>
      <c r="M130" s="118"/>
      <c r="N130" s="118"/>
      <c r="O130" s="118"/>
      <c r="P130" s="118"/>
      <c r="Q130" s="118"/>
      <c r="R130" s="118"/>
      <c r="S130" s="118"/>
      <c r="T130" s="118"/>
      <c r="U130" s="118"/>
      <c r="V130" s="118"/>
      <c r="W130" s="118"/>
      <c r="X130" s="118"/>
      <c r="Y130" s="118"/>
      <c r="Z130" s="118"/>
    </row>
    <row r="131" spans="1:26" ht="17.399999999999999">
      <c r="A131" s="118"/>
      <c r="B131" s="118"/>
      <c r="C131" s="404" t="s">
        <v>249</v>
      </c>
      <c r="D131" s="405"/>
      <c r="E131" s="406"/>
      <c r="F131" s="135"/>
      <c r="G131" s="135"/>
      <c r="H131" s="404" t="s">
        <v>303</v>
      </c>
      <c r="I131" s="405"/>
      <c r="J131" s="406"/>
      <c r="K131" s="118"/>
      <c r="L131" s="118"/>
      <c r="M131" s="118"/>
      <c r="N131" s="118"/>
      <c r="O131" s="118"/>
      <c r="P131" s="118"/>
      <c r="Q131" s="118"/>
      <c r="R131" s="118"/>
      <c r="S131" s="118"/>
      <c r="T131" s="118"/>
      <c r="U131" s="118"/>
      <c r="V131" s="118"/>
      <c r="W131" s="118"/>
      <c r="X131" s="118"/>
      <c r="Y131" s="118"/>
      <c r="Z131" s="118"/>
    </row>
    <row r="132" spans="1:26" ht="18">
      <c r="A132" s="117" t="s">
        <v>250</v>
      </c>
      <c r="B132" s="118"/>
      <c r="C132" s="122" t="s">
        <v>251</v>
      </c>
      <c r="D132" s="123" t="s">
        <v>252</v>
      </c>
      <c r="E132" s="124" t="s">
        <v>253</v>
      </c>
      <c r="F132" s="247" t="s">
        <v>279</v>
      </c>
      <c r="G132" s="248" t="s">
        <v>280</v>
      </c>
      <c r="H132" s="122" t="s">
        <v>251</v>
      </c>
      <c r="I132" s="123" t="s">
        <v>252</v>
      </c>
      <c r="J132" s="124" t="s">
        <v>253</v>
      </c>
      <c r="K132" s="267" t="s">
        <v>339</v>
      </c>
      <c r="L132" s="118"/>
      <c r="M132" s="118"/>
      <c r="N132" s="118"/>
      <c r="O132" s="118"/>
      <c r="P132" s="118"/>
      <c r="Q132" s="118"/>
      <c r="R132" s="118"/>
      <c r="S132" s="118"/>
      <c r="T132" s="118"/>
      <c r="U132" s="118"/>
      <c r="V132" s="118"/>
      <c r="W132" s="118"/>
      <c r="X132" s="118"/>
      <c r="Y132" s="118"/>
      <c r="Z132" s="118"/>
    </row>
    <row r="133" spans="1:26" ht="17.399999999999999">
      <c r="A133" s="125" t="s">
        <v>328</v>
      </c>
      <c r="B133" s="154"/>
      <c r="C133" s="200">
        <v>10</v>
      </c>
      <c r="D133" s="201">
        <v>5</v>
      </c>
      <c r="E133" s="202">
        <v>23</v>
      </c>
      <c r="F133" s="225"/>
      <c r="G133" s="249"/>
      <c r="H133" s="250">
        <f t="shared" ref="H133:J133" si="2">H119</f>
        <v>0.434782608695652</v>
      </c>
      <c r="I133" s="250">
        <f t="shared" si="2"/>
        <v>0.217391304347826</v>
      </c>
      <c r="J133" s="268">
        <f t="shared" si="2"/>
        <v>1</v>
      </c>
      <c r="K133" s="269"/>
      <c r="L133" s="118"/>
      <c r="M133" s="117"/>
      <c r="N133" s="118"/>
      <c r="O133" s="118"/>
      <c r="P133" s="118"/>
      <c r="Q133" s="118"/>
      <c r="R133" s="118"/>
      <c r="S133" s="118"/>
      <c r="T133" s="118"/>
      <c r="U133" s="118"/>
      <c r="V133" s="118"/>
      <c r="W133" s="118"/>
      <c r="X133" s="118"/>
      <c r="Y133" s="118"/>
      <c r="Z133" s="118"/>
    </row>
    <row r="134" spans="1:26" ht="17.399999999999999">
      <c r="A134" s="125" t="s">
        <v>329</v>
      </c>
      <c r="C134" s="164">
        <v>20</v>
      </c>
      <c r="D134" s="165">
        <v>13</v>
      </c>
      <c r="E134" s="166">
        <v>9</v>
      </c>
      <c r="F134" s="225"/>
      <c r="G134" s="251"/>
      <c r="H134" s="250">
        <f t="shared" ref="H134:J134" si="3">H120</f>
        <v>-0.5</v>
      </c>
      <c r="I134" s="250">
        <f t="shared" si="3"/>
        <v>0.2</v>
      </c>
      <c r="J134" s="268">
        <f t="shared" si="3"/>
        <v>0.6</v>
      </c>
      <c r="K134" s="269"/>
      <c r="L134" s="118"/>
      <c r="M134" s="117"/>
      <c r="N134" s="118"/>
      <c r="O134" s="118"/>
      <c r="P134" s="118"/>
      <c r="Q134" s="118"/>
      <c r="R134" s="118"/>
      <c r="S134" s="118"/>
      <c r="T134" s="118"/>
      <c r="U134" s="118"/>
      <c r="V134" s="118"/>
      <c r="W134" s="118"/>
      <c r="X134" s="118"/>
      <c r="Y134" s="118"/>
      <c r="Z134" s="118"/>
    </row>
    <row r="135" spans="1:26" ht="17.399999999999999">
      <c r="A135" s="125" t="s">
        <v>330</v>
      </c>
      <c r="C135" s="164">
        <v>95</v>
      </c>
      <c r="D135" s="165">
        <v>92</v>
      </c>
      <c r="E135" s="166">
        <v>90</v>
      </c>
      <c r="F135" s="225"/>
      <c r="G135" s="249"/>
      <c r="H135" s="250">
        <f t="shared" ref="H135:J135" si="4">H121</f>
        <v>0.95</v>
      </c>
      <c r="I135" s="250">
        <f t="shared" si="4"/>
        <v>0.92</v>
      </c>
      <c r="J135" s="268">
        <f t="shared" si="4"/>
        <v>0.9</v>
      </c>
      <c r="K135" s="269"/>
      <c r="L135" s="118"/>
      <c r="M135" s="117"/>
      <c r="N135" s="118"/>
      <c r="O135" s="118"/>
      <c r="P135" s="118"/>
      <c r="Q135" s="118"/>
      <c r="R135" s="118"/>
      <c r="S135" s="118"/>
      <c r="T135" s="118"/>
      <c r="U135" s="118"/>
      <c r="V135" s="118"/>
      <c r="W135" s="118"/>
      <c r="X135" s="118"/>
      <c r="Y135" s="118"/>
      <c r="Z135" s="118"/>
    </row>
    <row r="136" spans="1:26" ht="17.399999999999999">
      <c r="A136" s="125" t="s">
        <v>332</v>
      </c>
      <c r="B136" s="154"/>
      <c r="C136" s="164">
        <v>93</v>
      </c>
      <c r="D136" s="165">
        <v>90</v>
      </c>
      <c r="E136" s="166">
        <v>87</v>
      </c>
      <c r="F136" s="230"/>
      <c r="G136" s="252"/>
      <c r="H136" s="250">
        <f t="shared" ref="H136:J136" si="5">H122</f>
        <v>0.93</v>
      </c>
      <c r="I136" s="250">
        <f t="shared" si="5"/>
        <v>0.9</v>
      </c>
      <c r="J136" s="268">
        <f t="shared" si="5"/>
        <v>0.87</v>
      </c>
      <c r="K136" s="269"/>
      <c r="L136" s="118"/>
      <c r="M136" s="117"/>
      <c r="N136" s="118"/>
      <c r="O136" s="118"/>
      <c r="P136" s="118"/>
      <c r="Q136" s="118"/>
      <c r="R136" s="118"/>
      <c r="S136" s="118"/>
      <c r="T136" s="118"/>
      <c r="U136" s="118"/>
      <c r="V136" s="118"/>
      <c r="W136" s="118"/>
      <c r="X136" s="118"/>
      <c r="Y136" s="118"/>
      <c r="Z136" s="118"/>
    </row>
    <row r="137" spans="1:26" ht="17.399999999999999">
      <c r="A137" s="125" t="s">
        <v>333</v>
      </c>
      <c r="B137" s="125"/>
      <c r="C137" s="164">
        <v>10</v>
      </c>
      <c r="D137" s="165">
        <v>6</v>
      </c>
      <c r="E137" s="166">
        <v>10</v>
      </c>
      <c r="F137" s="225"/>
      <c r="G137" s="253"/>
      <c r="H137" s="250">
        <f t="shared" ref="H137:J137" si="6">H123</f>
        <v>0.25</v>
      </c>
      <c r="I137" s="250">
        <f t="shared" si="6"/>
        <v>0.5</v>
      </c>
      <c r="J137" s="268">
        <f t="shared" si="6"/>
        <v>0.25</v>
      </c>
      <c r="K137" s="269"/>
      <c r="L137" s="118"/>
      <c r="M137" s="117"/>
      <c r="N137" s="118"/>
      <c r="O137" s="118"/>
      <c r="P137" s="118"/>
      <c r="Q137" s="118"/>
      <c r="R137" s="118"/>
      <c r="S137" s="118"/>
      <c r="T137" s="118"/>
      <c r="U137" s="118"/>
      <c r="V137" s="118"/>
      <c r="W137" s="118"/>
      <c r="X137" s="118"/>
      <c r="Y137" s="118"/>
      <c r="Z137" s="118"/>
    </row>
    <row r="138" spans="1:26" ht="17.399999999999999">
      <c r="A138" s="125" t="s">
        <v>335</v>
      </c>
      <c r="B138" s="125"/>
      <c r="C138" s="164">
        <v>12</v>
      </c>
      <c r="D138" s="165">
        <v>10</v>
      </c>
      <c r="E138" s="166">
        <v>15</v>
      </c>
      <c r="F138" s="225"/>
      <c r="G138" s="249"/>
      <c r="H138" s="250">
        <f t="shared" ref="H138:J138" si="7">H124</f>
        <v>0.2</v>
      </c>
      <c r="I138" s="250">
        <f t="shared" si="7"/>
        <v>0.33333333333333298</v>
      </c>
      <c r="J138" s="268">
        <f t="shared" si="7"/>
        <v>0</v>
      </c>
      <c r="K138" s="269"/>
      <c r="L138" s="118"/>
      <c r="M138" s="118"/>
      <c r="N138" s="118"/>
      <c r="O138" s="118"/>
      <c r="P138" s="118"/>
      <c r="Q138" s="118"/>
      <c r="R138" s="118"/>
      <c r="S138" s="118"/>
      <c r="T138" s="118"/>
      <c r="U138" s="118"/>
      <c r="V138" s="118"/>
      <c r="W138" s="118"/>
      <c r="X138" s="118"/>
      <c r="Y138" s="118"/>
      <c r="Z138" s="118"/>
    </row>
    <row r="139" spans="1:26" ht="17.399999999999999">
      <c r="A139" s="125" t="s">
        <v>336</v>
      </c>
      <c r="C139" s="164">
        <v>10</v>
      </c>
      <c r="D139" s="165">
        <v>15</v>
      </c>
      <c r="E139" s="166">
        <v>9</v>
      </c>
      <c r="F139" s="225"/>
      <c r="G139" s="249"/>
      <c r="H139" s="250">
        <f t="shared" ref="H139:J139" si="8">H125</f>
        <v>0.33333333333333298</v>
      </c>
      <c r="I139" s="250">
        <f t="shared" si="8"/>
        <v>0</v>
      </c>
      <c r="J139" s="268">
        <f t="shared" si="8"/>
        <v>0.4</v>
      </c>
      <c r="K139" s="269"/>
      <c r="L139" s="118"/>
      <c r="M139" s="118"/>
      <c r="N139" s="118"/>
      <c r="O139" s="118"/>
      <c r="P139" s="118"/>
      <c r="Q139" s="118"/>
      <c r="R139" s="118"/>
      <c r="S139" s="118"/>
      <c r="T139" s="118"/>
      <c r="U139" s="118"/>
      <c r="V139" s="118"/>
      <c r="W139" s="118"/>
      <c r="X139" s="118"/>
      <c r="Y139" s="118"/>
      <c r="Z139" s="118"/>
    </row>
    <row r="140" spans="1:26" ht="17.399999999999999">
      <c r="A140" s="125" t="s">
        <v>337</v>
      </c>
      <c r="B140" s="118"/>
      <c r="C140" s="174">
        <v>20</v>
      </c>
      <c r="D140" s="175">
        <v>21</v>
      </c>
      <c r="E140" s="176">
        <v>19</v>
      </c>
      <c r="F140" s="233"/>
      <c r="G140" s="254"/>
      <c r="H140" s="255">
        <f t="shared" ref="H140:J140" si="9">H126</f>
        <v>4.76190476190477E-2</v>
      </c>
      <c r="I140" s="255">
        <f t="shared" si="9"/>
        <v>0</v>
      </c>
      <c r="J140" s="270">
        <f t="shared" si="9"/>
        <v>9.5238095238095205E-2</v>
      </c>
      <c r="K140" s="271"/>
      <c r="L140" s="118"/>
      <c r="M140" s="118"/>
      <c r="N140" s="118"/>
      <c r="O140" s="118"/>
      <c r="P140" s="118"/>
      <c r="Q140" s="118"/>
      <c r="R140" s="118"/>
      <c r="S140" s="118"/>
      <c r="T140" s="118"/>
      <c r="U140" s="118"/>
      <c r="V140" s="118"/>
      <c r="W140" s="118"/>
      <c r="X140" s="118"/>
      <c r="Y140" s="118"/>
      <c r="Z140" s="118"/>
    </row>
    <row r="141" spans="1:26" ht="17.399999999999999">
      <c r="A141" s="117" t="s">
        <v>269</v>
      </c>
      <c r="B141" s="118"/>
      <c r="C141" s="143"/>
      <c r="D141" s="143"/>
      <c r="E141" s="143"/>
      <c r="F141" s="118"/>
      <c r="G141" s="137"/>
      <c r="H141" s="256">
        <f t="shared" ref="H141:J141" si="10">H127</f>
        <v>2.6457349896480302</v>
      </c>
      <c r="I141" s="256">
        <f t="shared" si="10"/>
        <v>3.0707246376811601</v>
      </c>
      <c r="J141" s="272">
        <f t="shared" si="10"/>
        <v>4.1152380952380998</v>
      </c>
      <c r="K141" s="118"/>
      <c r="L141" s="118"/>
      <c r="M141" s="118"/>
      <c r="N141" s="118"/>
      <c r="O141" s="118"/>
      <c r="P141" s="118"/>
      <c r="Q141" s="118"/>
      <c r="R141" s="118"/>
      <c r="S141" s="118"/>
      <c r="T141" s="118"/>
      <c r="U141" s="118"/>
      <c r="V141" s="118"/>
      <c r="W141" s="118"/>
      <c r="X141" s="118"/>
      <c r="Y141" s="118"/>
      <c r="Z141" s="118"/>
    </row>
    <row r="142" spans="1:26" ht="17.399999999999999">
      <c r="A142" s="117"/>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spans="1:26" ht="36" customHeight="1">
      <c r="A143" s="178" t="s">
        <v>340</v>
      </c>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spans="1:26" ht="17.399999999999999">
      <c r="A144" s="117"/>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spans="1:26" ht="17.399999999999999">
      <c r="A145" s="117" t="s">
        <v>341</v>
      </c>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spans="1:26" ht="17.399999999999999">
      <c r="A146" s="117"/>
      <c r="B146" s="118"/>
      <c r="C146" s="257" t="s">
        <v>339</v>
      </c>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spans="1:26" ht="17.399999999999999">
      <c r="A147" s="125" t="s">
        <v>255</v>
      </c>
      <c r="B147" s="154"/>
      <c r="C147" s="208">
        <v>5</v>
      </c>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spans="1:26" ht="17.399999999999999">
      <c r="A148" s="125" t="s">
        <v>257</v>
      </c>
      <c r="C148" s="208">
        <v>4</v>
      </c>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spans="1:26" ht="17.399999999999999">
      <c r="A149" s="125" t="s">
        <v>259</v>
      </c>
      <c r="C149" s="208">
        <v>5</v>
      </c>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spans="1:26" ht="17.399999999999999">
      <c r="A150" s="125" t="s">
        <v>261</v>
      </c>
      <c r="B150" s="154"/>
      <c r="C150" s="208">
        <v>5</v>
      </c>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spans="1:26" ht="17.399999999999999">
      <c r="A151" s="125" t="s">
        <v>285</v>
      </c>
      <c r="B151" s="125"/>
      <c r="C151" s="208">
        <v>5</v>
      </c>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spans="1:26" ht="17.399999999999999">
      <c r="A152" s="125" t="s">
        <v>265</v>
      </c>
      <c r="B152" s="125"/>
      <c r="C152" s="208">
        <v>3</v>
      </c>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spans="1:26" ht="17.399999999999999">
      <c r="A153" s="125" t="s">
        <v>267</v>
      </c>
      <c r="C153" s="208">
        <v>4</v>
      </c>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spans="1:26" ht="17.399999999999999">
      <c r="A154" s="125" t="s">
        <v>11</v>
      </c>
      <c r="B154" s="118"/>
      <c r="C154" s="210">
        <v>3</v>
      </c>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spans="1:26" ht="17.399999999999999">
      <c r="A155" s="117"/>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spans="1:26" ht="17.399999999999999">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spans="1:26" ht="17.399999999999999">
      <c r="A157" s="117" t="s">
        <v>342</v>
      </c>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spans="1:26" ht="17.399999999999999">
      <c r="A158" s="117"/>
      <c r="B158" s="118"/>
      <c r="C158" s="257" t="s">
        <v>339</v>
      </c>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spans="1:26" ht="17.399999999999999">
      <c r="A159" s="125" t="s">
        <v>255</v>
      </c>
      <c r="B159" s="154"/>
      <c r="C159" s="258">
        <f>C147/SUM($C147:$C154)</f>
        <v>0.14705882352941199</v>
      </c>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spans="1:26" ht="17.399999999999999">
      <c r="A160" s="125" t="s">
        <v>257</v>
      </c>
      <c r="C160" s="258">
        <f>C148/SUM(C147:C154)</f>
        <v>0.11764705882352899</v>
      </c>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spans="1:26" ht="17.399999999999999">
      <c r="A161" s="125" t="s">
        <v>259</v>
      </c>
      <c r="C161" s="258">
        <f>C149/SUM(C147:C154)</f>
        <v>0.14705882352941199</v>
      </c>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spans="1:26" ht="17.399999999999999">
      <c r="A162" s="125" t="s">
        <v>261</v>
      </c>
      <c r="B162" s="154"/>
      <c r="C162" s="258">
        <f>C150/SUM(C147:C154)</f>
        <v>0.14705882352941199</v>
      </c>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spans="1:26" ht="17.399999999999999">
      <c r="A163" s="125" t="s">
        <v>285</v>
      </c>
      <c r="B163" s="125"/>
      <c r="C163" s="258">
        <f>C151/SUM(C147:C154)</f>
        <v>0.14705882352941199</v>
      </c>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spans="1:26" ht="17.399999999999999">
      <c r="A164" s="125" t="s">
        <v>265</v>
      </c>
      <c r="B164" s="125"/>
      <c r="C164" s="258">
        <f>C152/SUM(C147:C154)</f>
        <v>8.8235294117647106E-2</v>
      </c>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spans="1:26" ht="17.399999999999999">
      <c r="A165" s="125" t="s">
        <v>267</v>
      </c>
      <c r="C165" s="258">
        <f>C153/SUM(C147:C154)</f>
        <v>0.11764705882352899</v>
      </c>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spans="1:26" ht="17.399999999999999">
      <c r="A166" s="125" t="s">
        <v>11</v>
      </c>
      <c r="B166" s="118"/>
      <c r="C166" s="259">
        <f>C154/SUM(C147:C154)</f>
        <v>8.8235294117647106E-2</v>
      </c>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spans="1:26" ht="17.399999999999999">
      <c r="A167" s="117"/>
      <c r="B167" s="137"/>
      <c r="C167" s="260">
        <f>SUM(C159:C166)</f>
        <v>1</v>
      </c>
      <c r="D167" s="118" t="s">
        <v>343</v>
      </c>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spans="1:26" ht="17.399999999999999">
      <c r="A168" s="117"/>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spans="1:26" ht="17.399999999999999">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spans="1:26" ht="17.399999999999999">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spans="1:26" ht="17.399999999999999">
      <c r="A171" s="118"/>
      <c r="B171" s="118"/>
      <c r="C171" s="404" t="s">
        <v>249</v>
      </c>
      <c r="D171" s="405"/>
      <c r="E171" s="406"/>
      <c r="F171" s="134"/>
      <c r="G171" s="135"/>
      <c r="H171" s="404" t="s">
        <v>303</v>
      </c>
      <c r="I171" s="405"/>
      <c r="J171" s="406"/>
      <c r="K171" s="134"/>
      <c r="L171" s="117"/>
      <c r="M171" s="118"/>
      <c r="N171" s="118"/>
      <c r="O171" s="117"/>
      <c r="P171" s="118"/>
      <c r="Q171" s="118"/>
      <c r="R171" s="118"/>
      <c r="S171" s="118"/>
      <c r="T171" s="118"/>
      <c r="U171" s="118"/>
      <c r="V171" s="118"/>
      <c r="W171" s="118"/>
      <c r="X171" s="118"/>
      <c r="Y171" s="118"/>
      <c r="Z171" s="118"/>
    </row>
    <row r="172" spans="1:26" ht="18">
      <c r="A172" s="117" t="s">
        <v>250</v>
      </c>
      <c r="B172" s="118"/>
      <c r="C172" s="122" t="s">
        <v>251</v>
      </c>
      <c r="D172" s="123" t="s">
        <v>252</v>
      </c>
      <c r="E172" s="124" t="s">
        <v>253</v>
      </c>
      <c r="F172" s="247" t="s">
        <v>279</v>
      </c>
      <c r="G172" s="261" t="s">
        <v>280</v>
      </c>
      <c r="H172" s="122" t="s">
        <v>251</v>
      </c>
      <c r="I172" s="123" t="s">
        <v>252</v>
      </c>
      <c r="J172" s="124" t="s">
        <v>253</v>
      </c>
      <c r="K172" s="273" t="s">
        <v>339</v>
      </c>
      <c r="L172" s="150"/>
      <c r="M172" s="150"/>
      <c r="N172" s="150"/>
      <c r="O172" s="118"/>
      <c r="P172" s="118"/>
      <c r="Q172" s="118"/>
      <c r="R172" s="118"/>
      <c r="S172" s="118"/>
      <c r="T172" s="118"/>
      <c r="U172" s="118"/>
      <c r="V172" s="118"/>
      <c r="W172" s="118"/>
      <c r="X172" s="118"/>
      <c r="Y172" s="118"/>
      <c r="Z172" s="118"/>
    </row>
    <row r="173" spans="1:26" ht="17.399999999999999">
      <c r="A173" s="125" t="s">
        <v>328</v>
      </c>
      <c r="B173" s="154"/>
      <c r="C173" s="200">
        <v>10</v>
      </c>
      <c r="D173" s="201">
        <v>5</v>
      </c>
      <c r="E173" s="202">
        <v>23</v>
      </c>
      <c r="F173" s="225"/>
      <c r="G173" s="159">
        <v>0.4</v>
      </c>
      <c r="H173" s="262">
        <f t="shared" ref="H173:J173" si="11">H133</f>
        <v>0.434782608695652</v>
      </c>
      <c r="I173" s="265">
        <f t="shared" si="11"/>
        <v>0.217391304347826</v>
      </c>
      <c r="J173" s="274">
        <f t="shared" si="11"/>
        <v>1</v>
      </c>
      <c r="K173" s="275">
        <f t="shared" ref="K173:K180" si="12">C159</f>
        <v>0.14705882352941199</v>
      </c>
      <c r="L173" s="118"/>
      <c r="M173" s="118"/>
      <c r="N173" s="118"/>
      <c r="O173" s="118"/>
      <c r="P173" s="118"/>
      <c r="Q173" s="118"/>
      <c r="R173" s="118"/>
      <c r="S173" s="118"/>
      <c r="T173" s="118"/>
      <c r="U173" s="118"/>
      <c r="V173" s="118"/>
      <c r="W173" s="118"/>
      <c r="X173" s="118"/>
      <c r="Y173" s="118"/>
      <c r="Z173" s="118"/>
    </row>
    <row r="174" spans="1:26" ht="17.399999999999999">
      <c r="A174" s="125" t="s">
        <v>329</v>
      </c>
      <c r="C174" s="164">
        <v>20</v>
      </c>
      <c r="D174" s="165">
        <v>13</v>
      </c>
      <c r="E174" s="166">
        <v>9</v>
      </c>
      <c r="F174" s="225"/>
      <c r="G174" s="163" t="s">
        <v>284</v>
      </c>
      <c r="H174" s="262">
        <f t="shared" ref="H174:J174" si="13">H134</f>
        <v>-0.5</v>
      </c>
      <c r="I174" s="265">
        <f t="shared" si="13"/>
        <v>0.2</v>
      </c>
      <c r="J174" s="274">
        <f t="shared" si="13"/>
        <v>0.6</v>
      </c>
      <c r="K174" s="276">
        <f t="shared" si="12"/>
        <v>0.11764705882352899</v>
      </c>
      <c r="L174" s="118"/>
      <c r="M174" s="118"/>
      <c r="N174" s="118"/>
      <c r="O174" s="118"/>
      <c r="P174" s="118"/>
      <c r="Q174" s="118"/>
      <c r="R174" s="118"/>
      <c r="S174" s="118"/>
      <c r="T174" s="118"/>
      <c r="U174" s="118"/>
      <c r="V174" s="118"/>
      <c r="W174" s="118"/>
      <c r="X174" s="118"/>
      <c r="Y174" s="118"/>
      <c r="Z174" s="118"/>
    </row>
    <row r="175" spans="1:26" ht="17.399999999999999">
      <c r="A175" s="125" t="s">
        <v>330</v>
      </c>
      <c r="C175" s="164">
        <v>95</v>
      </c>
      <c r="D175" s="165">
        <v>92</v>
      </c>
      <c r="E175" s="166">
        <v>90</v>
      </c>
      <c r="F175" s="225"/>
      <c r="G175" s="159"/>
      <c r="H175" s="262">
        <f t="shared" ref="H175:J175" si="14">H135</f>
        <v>0.95</v>
      </c>
      <c r="I175" s="265">
        <f t="shared" si="14"/>
        <v>0.92</v>
      </c>
      <c r="J175" s="274">
        <f t="shared" si="14"/>
        <v>0.9</v>
      </c>
      <c r="K175" s="276">
        <f t="shared" si="12"/>
        <v>0.14705882352941199</v>
      </c>
      <c r="L175" s="118"/>
      <c r="M175" s="118"/>
      <c r="N175" s="118"/>
      <c r="O175" s="118"/>
      <c r="P175" s="118"/>
      <c r="Q175" s="118"/>
      <c r="R175" s="118"/>
      <c r="S175" s="118"/>
      <c r="T175" s="118"/>
      <c r="U175" s="118"/>
      <c r="V175" s="118"/>
      <c r="W175" s="118"/>
      <c r="X175" s="118"/>
      <c r="Y175" s="118"/>
      <c r="Z175" s="118"/>
    </row>
    <row r="176" spans="1:26" ht="17.399999999999999">
      <c r="A176" s="125" t="s">
        <v>332</v>
      </c>
      <c r="B176" s="154"/>
      <c r="C176" s="164">
        <v>93</v>
      </c>
      <c r="D176" s="165">
        <v>90</v>
      </c>
      <c r="E176" s="166">
        <v>87</v>
      </c>
      <c r="F176" s="230"/>
      <c r="G176" s="159"/>
      <c r="H176" s="262">
        <f t="shared" ref="H176:J176" si="15">H136</f>
        <v>0.93</v>
      </c>
      <c r="I176" s="265">
        <f t="shared" si="15"/>
        <v>0.9</v>
      </c>
      <c r="J176" s="274">
        <f t="shared" si="15"/>
        <v>0.87</v>
      </c>
      <c r="K176" s="276">
        <f t="shared" si="12"/>
        <v>0.14705882352941199</v>
      </c>
      <c r="L176" s="118"/>
      <c r="M176" s="118"/>
      <c r="N176" s="118"/>
      <c r="O176" s="118"/>
      <c r="P176" s="118"/>
      <c r="Q176" s="118"/>
      <c r="R176" s="118"/>
      <c r="S176" s="118"/>
      <c r="T176" s="118"/>
      <c r="U176" s="118"/>
      <c r="V176" s="118"/>
      <c r="W176" s="118"/>
      <c r="X176" s="118"/>
      <c r="Y176" s="118"/>
      <c r="Z176" s="118"/>
    </row>
    <row r="177" spans="1:26" ht="17.399999999999999">
      <c r="A177" s="125" t="s">
        <v>333</v>
      </c>
      <c r="B177" s="125"/>
      <c r="C177" s="164">
        <v>10</v>
      </c>
      <c r="D177" s="165">
        <v>6</v>
      </c>
      <c r="E177" s="166">
        <v>10</v>
      </c>
      <c r="F177" s="225"/>
      <c r="G177" s="159" t="s">
        <v>289</v>
      </c>
      <c r="H177" s="262">
        <f t="shared" ref="H177:J177" si="16">H137</f>
        <v>0.25</v>
      </c>
      <c r="I177" s="265">
        <f t="shared" si="16"/>
        <v>0.5</v>
      </c>
      <c r="J177" s="274">
        <f t="shared" si="16"/>
        <v>0.25</v>
      </c>
      <c r="K177" s="276">
        <f t="shared" si="12"/>
        <v>0.14705882352941199</v>
      </c>
      <c r="L177" s="118"/>
      <c r="M177" s="118"/>
      <c r="N177" s="118"/>
      <c r="O177" s="118"/>
      <c r="P177" s="118"/>
      <c r="Q177" s="118"/>
      <c r="R177" s="118"/>
      <c r="S177" s="118"/>
      <c r="T177" s="118"/>
      <c r="U177" s="118"/>
      <c r="V177" s="118"/>
      <c r="W177" s="118"/>
      <c r="X177" s="118"/>
      <c r="Y177" s="118"/>
      <c r="Z177" s="118"/>
    </row>
    <row r="178" spans="1:26" ht="17.399999999999999">
      <c r="A178" s="125" t="s">
        <v>335</v>
      </c>
      <c r="B178" s="125"/>
      <c r="C178" s="164">
        <v>12</v>
      </c>
      <c r="D178" s="165">
        <v>10</v>
      </c>
      <c r="E178" s="166">
        <v>15</v>
      </c>
      <c r="F178" s="225"/>
      <c r="G178" s="167" t="s">
        <v>293</v>
      </c>
      <c r="H178" s="262">
        <f t="shared" ref="H178:J178" si="17">H138</f>
        <v>0.2</v>
      </c>
      <c r="I178" s="265">
        <f t="shared" si="17"/>
        <v>0.33333333333333298</v>
      </c>
      <c r="J178" s="274">
        <f t="shared" si="17"/>
        <v>0</v>
      </c>
      <c r="K178" s="276">
        <f t="shared" si="12"/>
        <v>8.8235294117647106E-2</v>
      </c>
      <c r="L178" s="118"/>
      <c r="M178" s="118"/>
      <c r="N178" s="118"/>
      <c r="O178" s="118"/>
      <c r="P178" s="118"/>
      <c r="Q178" s="118"/>
      <c r="R178" s="118"/>
      <c r="S178" s="118"/>
      <c r="T178" s="118"/>
      <c r="U178" s="118"/>
      <c r="V178" s="118"/>
      <c r="W178" s="118"/>
      <c r="X178" s="118"/>
      <c r="Y178" s="118"/>
      <c r="Z178" s="118"/>
    </row>
    <row r="179" spans="1:26" ht="17.399999999999999">
      <c r="A179" s="125" t="s">
        <v>336</v>
      </c>
      <c r="C179" s="164">
        <v>10</v>
      </c>
      <c r="D179" s="165">
        <v>15</v>
      </c>
      <c r="E179" s="166">
        <v>9</v>
      </c>
      <c r="F179" s="225"/>
      <c r="G179" s="166" t="s">
        <v>297</v>
      </c>
      <c r="H179" s="262">
        <f t="shared" ref="H179:J179" si="18">H139</f>
        <v>0.33333333333333298</v>
      </c>
      <c r="I179" s="265">
        <f t="shared" si="18"/>
        <v>0</v>
      </c>
      <c r="J179" s="274">
        <f t="shared" si="18"/>
        <v>0.4</v>
      </c>
      <c r="K179" s="276">
        <f t="shared" si="12"/>
        <v>0.11764705882352899</v>
      </c>
      <c r="L179" s="118"/>
      <c r="M179" s="118"/>
      <c r="N179" s="118"/>
      <c r="O179" s="118"/>
      <c r="P179" s="118"/>
      <c r="Q179" s="118"/>
      <c r="R179" s="118"/>
      <c r="S179" s="118"/>
      <c r="T179" s="118"/>
      <c r="U179" s="118"/>
      <c r="V179" s="118"/>
      <c r="W179" s="118"/>
      <c r="X179" s="118"/>
      <c r="Y179" s="118"/>
      <c r="Z179" s="118"/>
    </row>
    <row r="180" spans="1:26" ht="17.399999999999999">
      <c r="A180" s="125" t="s">
        <v>337</v>
      </c>
      <c r="B180" s="118"/>
      <c r="C180" s="174">
        <v>20</v>
      </c>
      <c r="D180" s="175">
        <v>21</v>
      </c>
      <c r="E180" s="176">
        <v>19</v>
      </c>
      <c r="F180" s="233"/>
      <c r="G180" s="169" t="s">
        <v>301</v>
      </c>
      <c r="H180" s="263">
        <f t="shared" ref="H180:J180" si="19">H140</f>
        <v>4.76190476190477E-2</v>
      </c>
      <c r="I180" s="277">
        <f t="shared" si="19"/>
        <v>0</v>
      </c>
      <c r="J180" s="278">
        <f t="shared" si="19"/>
        <v>9.5238095238095205E-2</v>
      </c>
      <c r="K180" s="279">
        <f t="shared" si="12"/>
        <v>8.8235294117647106E-2</v>
      </c>
      <c r="L180" s="118"/>
      <c r="M180" s="118"/>
      <c r="N180" s="118"/>
      <c r="O180" s="118"/>
      <c r="P180" s="118"/>
      <c r="Q180" s="118"/>
      <c r="R180" s="118"/>
      <c r="S180" s="118"/>
      <c r="T180" s="118"/>
      <c r="U180" s="118"/>
      <c r="V180" s="118"/>
      <c r="W180" s="118"/>
      <c r="X180" s="118"/>
      <c r="Y180" s="118"/>
      <c r="Z180" s="118"/>
    </row>
    <row r="181" spans="1:26" ht="17.399999999999999">
      <c r="A181" s="117" t="s">
        <v>269</v>
      </c>
      <c r="B181" s="118"/>
      <c r="C181" s="143"/>
      <c r="D181" s="143"/>
      <c r="E181" s="143"/>
      <c r="F181" s="118"/>
      <c r="G181" s="137"/>
      <c r="H181" s="264">
        <f t="shared" ref="H181:J181" si="20">H141</f>
        <v>2.6457349896480302</v>
      </c>
      <c r="I181" s="264">
        <f t="shared" si="20"/>
        <v>3.0707246376811601</v>
      </c>
      <c r="J181" s="280">
        <f t="shared" si="20"/>
        <v>4.1152380952380998</v>
      </c>
      <c r="K181" s="118"/>
      <c r="L181" s="118"/>
      <c r="M181" s="118"/>
      <c r="N181" s="118"/>
      <c r="O181" s="118"/>
      <c r="P181" s="118"/>
      <c r="Q181" s="118"/>
      <c r="R181" s="118"/>
      <c r="S181" s="118"/>
      <c r="T181" s="118"/>
      <c r="U181" s="118"/>
      <c r="V181" s="118"/>
      <c r="W181" s="118"/>
      <c r="X181" s="118"/>
      <c r="Y181" s="118"/>
      <c r="Z181" s="118"/>
    </row>
    <row r="182" spans="1:26" ht="17.399999999999999">
      <c r="A182" s="146"/>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7.399999999999999">
      <c r="A183" s="147" t="s">
        <v>344</v>
      </c>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row>
    <row r="184" spans="1:26" ht="17.399999999999999">
      <c r="A184" s="117"/>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spans="1:26" ht="17.399999999999999">
      <c r="A185" s="117" t="s">
        <v>345</v>
      </c>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spans="1:26" ht="17.399999999999999">
      <c r="A186" s="117" t="s">
        <v>346</v>
      </c>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spans="1:26" ht="17.399999999999999">
      <c r="A187" s="117"/>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spans="1:26" ht="17.399999999999999">
      <c r="A188" s="118"/>
      <c r="B188" s="118"/>
      <c r="C188" s="118"/>
      <c r="D188" s="118"/>
      <c r="E188" s="118"/>
      <c r="F188" s="118"/>
      <c r="G188" s="118"/>
      <c r="H188" s="119"/>
      <c r="I188" s="119"/>
      <c r="J188" s="119"/>
      <c r="K188" s="118"/>
      <c r="L188" s="119"/>
      <c r="M188" s="119"/>
      <c r="N188" s="119"/>
      <c r="O188" s="118"/>
      <c r="P188" s="118"/>
      <c r="Q188" s="118"/>
      <c r="R188" s="118"/>
      <c r="S188" s="118"/>
      <c r="T188" s="118"/>
      <c r="U188" s="118"/>
      <c r="V188" s="118"/>
      <c r="W188" s="118"/>
      <c r="X188" s="118"/>
      <c r="Y188" s="118"/>
      <c r="Z188" s="118"/>
    </row>
    <row r="189" spans="1:26" ht="17.399999999999999">
      <c r="A189" s="118"/>
      <c r="B189" s="118"/>
      <c r="C189" s="404" t="s">
        <v>249</v>
      </c>
      <c r="D189" s="405"/>
      <c r="E189" s="406"/>
      <c r="F189" s="134"/>
      <c r="G189" s="135"/>
      <c r="H189" s="404" t="s">
        <v>303</v>
      </c>
      <c r="I189" s="405"/>
      <c r="J189" s="406"/>
      <c r="K189" s="134"/>
      <c r="L189" s="410" t="s">
        <v>347</v>
      </c>
      <c r="M189" s="411"/>
      <c r="N189" s="412"/>
      <c r="O189" s="281" t="s">
        <v>230</v>
      </c>
      <c r="P189" s="118"/>
      <c r="Q189" s="118"/>
      <c r="R189" s="118"/>
      <c r="S189" s="118"/>
      <c r="T189" s="118"/>
      <c r="U189" s="118"/>
      <c r="V189" s="118"/>
      <c r="W189" s="118"/>
      <c r="X189" s="118"/>
      <c r="Y189" s="118"/>
      <c r="Z189" s="118"/>
    </row>
    <row r="190" spans="1:26" ht="18">
      <c r="A190" s="117" t="s">
        <v>250</v>
      </c>
      <c r="B190" s="118"/>
      <c r="C190" s="122" t="s">
        <v>251</v>
      </c>
      <c r="D190" s="123" t="s">
        <v>252</v>
      </c>
      <c r="E190" s="124" t="s">
        <v>253</v>
      </c>
      <c r="F190" s="247" t="s">
        <v>279</v>
      </c>
      <c r="G190" s="261" t="s">
        <v>280</v>
      </c>
      <c r="H190" s="122" t="s">
        <v>251</v>
      </c>
      <c r="I190" s="123" t="s">
        <v>252</v>
      </c>
      <c r="J190" s="124" t="s">
        <v>253</v>
      </c>
      <c r="K190" s="273" t="s">
        <v>339</v>
      </c>
      <c r="L190" s="282" t="s">
        <v>251</v>
      </c>
      <c r="M190" s="283" t="s">
        <v>252</v>
      </c>
      <c r="N190" s="284" t="s">
        <v>253</v>
      </c>
      <c r="O190" s="118"/>
      <c r="P190" s="118"/>
      <c r="Q190" s="118"/>
      <c r="R190" s="118"/>
      <c r="S190" s="118"/>
      <c r="T190" s="118"/>
      <c r="U190" s="118"/>
      <c r="V190" s="118"/>
      <c r="W190" s="118"/>
      <c r="X190" s="118"/>
      <c r="Y190" s="118"/>
      <c r="Z190" s="118"/>
    </row>
    <row r="191" spans="1:26" ht="17.399999999999999">
      <c r="A191" s="125" t="s">
        <v>328</v>
      </c>
      <c r="B191" s="154"/>
      <c r="C191" s="200">
        <v>10</v>
      </c>
      <c r="D191" s="201">
        <v>5</v>
      </c>
      <c r="E191" s="202">
        <v>23</v>
      </c>
      <c r="F191" s="225"/>
      <c r="G191" s="159">
        <v>0.4</v>
      </c>
      <c r="H191" s="265">
        <f t="shared" ref="H191:K191" si="21">H173</f>
        <v>0.434782608695652</v>
      </c>
      <c r="I191" s="265">
        <f t="shared" si="21"/>
        <v>0.217391304347826</v>
      </c>
      <c r="J191" s="265">
        <f t="shared" si="21"/>
        <v>1</v>
      </c>
      <c r="K191" s="285">
        <f t="shared" si="21"/>
        <v>0.14705882352941199</v>
      </c>
      <c r="L191" s="286">
        <f t="shared" ref="L191:L198" si="22">H191*K191</f>
        <v>6.3938618925831206E-2</v>
      </c>
      <c r="M191" s="286">
        <f t="shared" ref="M191:M198" si="23">I191*K191</f>
        <v>3.1969309462915603E-2</v>
      </c>
      <c r="N191" s="287">
        <f t="shared" ref="N191:N198" si="24">J191*K191</f>
        <v>0.14705882352941199</v>
      </c>
      <c r="O191" s="118"/>
      <c r="P191" s="118"/>
      <c r="Q191" s="118"/>
      <c r="R191" s="118"/>
      <c r="S191" s="118"/>
      <c r="T191" s="118"/>
      <c r="U191" s="118"/>
      <c r="V191" s="118"/>
      <c r="W191" s="118"/>
      <c r="X191" s="118"/>
      <c r="Y191" s="118"/>
      <c r="Z191" s="118"/>
    </row>
    <row r="192" spans="1:26" ht="17.399999999999999">
      <c r="A192" s="125" t="s">
        <v>329</v>
      </c>
      <c r="C192" s="164">
        <v>20</v>
      </c>
      <c r="D192" s="165">
        <v>13</v>
      </c>
      <c r="E192" s="166">
        <v>9</v>
      </c>
      <c r="F192" s="225"/>
      <c r="G192" s="163" t="s">
        <v>284</v>
      </c>
      <c r="H192" s="265">
        <f t="shared" ref="H192:K192" si="25">H174</f>
        <v>-0.5</v>
      </c>
      <c r="I192" s="265">
        <f t="shared" si="25"/>
        <v>0.2</v>
      </c>
      <c r="J192" s="265">
        <f t="shared" si="25"/>
        <v>0.6</v>
      </c>
      <c r="K192" s="258">
        <f t="shared" si="25"/>
        <v>0.11764705882352899</v>
      </c>
      <c r="L192" s="286">
        <f t="shared" si="22"/>
        <v>-5.8823529411764698E-2</v>
      </c>
      <c r="M192" s="286">
        <f t="shared" si="23"/>
        <v>2.3529411764705899E-2</v>
      </c>
      <c r="N192" s="287">
        <f t="shared" si="24"/>
        <v>7.0588235294117604E-2</v>
      </c>
      <c r="O192" s="118"/>
      <c r="P192" s="118"/>
      <c r="Q192" s="118"/>
      <c r="R192" s="118"/>
      <c r="S192" s="118"/>
      <c r="T192" s="118"/>
      <c r="U192" s="118"/>
      <c r="V192" s="118"/>
      <c r="W192" s="118"/>
      <c r="X192" s="118"/>
      <c r="Y192" s="118"/>
      <c r="Z192" s="118"/>
    </row>
    <row r="193" spans="1:26" ht="17.399999999999999">
      <c r="A193" s="125" t="s">
        <v>330</v>
      </c>
      <c r="C193" s="164">
        <v>95</v>
      </c>
      <c r="D193" s="165">
        <v>92</v>
      </c>
      <c r="E193" s="166">
        <v>90</v>
      </c>
      <c r="F193" s="225"/>
      <c r="G193" s="159"/>
      <c r="H193" s="265">
        <f t="shared" ref="H193:K193" si="26">H175</f>
        <v>0.95</v>
      </c>
      <c r="I193" s="265">
        <f t="shared" si="26"/>
        <v>0.92</v>
      </c>
      <c r="J193" s="265">
        <f t="shared" si="26"/>
        <v>0.9</v>
      </c>
      <c r="K193" s="258">
        <f t="shared" si="26"/>
        <v>0.14705882352941199</v>
      </c>
      <c r="L193" s="286">
        <f t="shared" si="22"/>
        <v>0.13970588235294101</v>
      </c>
      <c r="M193" s="286">
        <f t="shared" si="23"/>
        <v>0.13529411764705901</v>
      </c>
      <c r="N193" s="287">
        <f t="shared" si="24"/>
        <v>0.13235294117647101</v>
      </c>
      <c r="O193" s="118"/>
      <c r="P193" s="118"/>
      <c r="Q193" s="118"/>
      <c r="R193" s="118"/>
      <c r="S193" s="118"/>
      <c r="T193" s="118"/>
      <c r="U193" s="118"/>
      <c r="V193" s="118"/>
      <c r="W193" s="118"/>
      <c r="X193" s="118"/>
      <c r="Y193" s="118"/>
      <c r="Z193" s="118"/>
    </row>
    <row r="194" spans="1:26" ht="17.399999999999999">
      <c r="A194" s="125" t="s">
        <v>332</v>
      </c>
      <c r="B194" s="154"/>
      <c r="C194" s="164">
        <v>93</v>
      </c>
      <c r="D194" s="165">
        <v>90</v>
      </c>
      <c r="E194" s="166">
        <v>87</v>
      </c>
      <c r="F194" s="230"/>
      <c r="G194" s="159"/>
      <c r="H194" s="265">
        <f t="shared" ref="H194:K194" si="27">H176</f>
        <v>0.93</v>
      </c>
      <c r="I194" s="265">
        <f t="shared" si="27"/>
        <v>0.9</v>
      </c>
      <c r="J194" s="265">
        <f t="shared" si="27"/>
        <v>0.87</v>
      </c>
      <c r="K194" s="258">
        <f t="shared" si="27"/>
        <v>0.14705882352941199</v>
      </c>
      <c r="L194" s="286">
        <f t="shared" si="22"/>
        <v>0.13676470588235301</v>
      </c>
      <c r="M194" s="286">
        <f t="shared" si="23"/>
        <v>0.13235294117647101</v>
      </c>
      <c r="N194" s="287">
        <f t="shared" si="24"/>
        <v>0.127941176470588</v>
      </c>
      <c r="O194" s="118"/>
      <c r="P194" s="118"/>
      <c r="Q194" s="118"/>
      <c r="R194" s="118"/>
      <c r="S194" s="118"/>
      <c r="T194" s="118"/>
      <c r="U194" s="118"/>
      <c r="V194" s="118"/>
      <c r="W194" s="118"/>
      <c r="X194" s="118"/>
      <c r="Y194" s="118"/>
      <c r="Z194" s="118"/>
    </row>
    <row r="195" spans="1:26" ht="17.399999999999999">
      <c r="A195" s="125" t="s">
        <v>333</v>
      </c>
      <c r="B195" s="125"/>
      <c r="C195" s="164">
        <v>10</v>
      </c>
      <c r="D195" s="165">
        <v>6</v>
      </c>
      <c r="E195" s="166">
        <v>10</v>
      </c>
      <c r="F195" s="225"/>
      <c r="G195" s="159" t="s">
        <v>289</v>
      </c>
      <c r="H195" s="265">
        <f t="shared" ref="H195:K195" si="28">H177</f>
        <v>0.25</v>
      </c>
      <c r="I195" s="265">
        <f t="shared" si="28"/>
        <v>0.5</v>
      </c>
      <c r="J195" s="265">
        <f t="shared" si="28"/>
        <v>0.25</v>
      </c>
      <c r="K195" s="258">
        <f t="shared" si="28"/>
        <v>0.14705882352941199</v>
      </c>
      <c r="L195" s="286">
        <f t="shared" si="22"/>
        <v>3.6764705882352901E-2</v>
      </c>
      <c r="M195" s="286">
        <f t="shared" si="23"/>
        <v>7.3529411764705899E-2</v>
      </c>
      <c r="N195" s="287">
        <f t="shared" si="24"/>
        <v>3.6764705882352901E-2</v>
      </c>
      <c r="O195" s="118" t="s">
        <v>348</v>
      </c>
      <c r="P195" s="118"/>
      <c r="Q195" s="118"/>
      <c r="R195" s="118"/>
      <c r="S195" s="118"/>
      <c r="T195" s="118"/>
      <c r="U195" s="118"/>
      <c r="V195" s="118"/>
      <c r="W195" s="118"/>
      <c r="X195" s="118"/>
      <c r="Y195" s="118"/>
      <c r="Z195" s="118"/>
    </row>
    <row r="196" spans="1:26" ht="17.399999999999999">
      <c r="A196" s="125" t="s">
        <v>335</v>
      </c>
      <c r="B196" s="125"/>
      <c r="C196" s="164">
        <v>12</v>
      </c>
      <c r="D196" s="165">
        <v>10</v>
      </c>
      <c r="E196" s="166">
        <v>15</v>
      </c>
      <c r="F196" s="225"/>
      <c r="G196" s="167" t="s">
        <v>293</v>
      </c>
      <c r="H196" s="265">
        <f t="shared" ref="H196:K196" si="29">H178</f>
        <v>0.2</v>
      </c>
      <c r="I196" s="265">
        <f t="shared" si="29"/>
        <v>0.33333333333333298</v>
      </c>
      <c r="J196" s="265">
        <f t="shared" si="29"/>
        <v>0</v>
      </c>
      <c r="K196" s="258">
        <f t="shared" si="29"/>
        <v>8.8235294117647106E-2</v>
      </c>
      <c r="L196" s="286">
        <f t="shared" si="22"/>
        <v>1.7647058823529401E-2</v>
      </c>
      <c r="M196" s="286">
        <f t="shared" si="23"/>
        <v>2.9411764705882401E-2</v>
      </c>
      <c r="N196" s="287">
        <f t="shared" si="24"/>
        <v>0</v>
      </c>
      <c r="O196" s="118"/>
      <c r="P196" s="118"/>
      <c r="Q196" s="118"/>
      <c r="R196" s="118"/>
      <c r="S196" s="118"/>
      <c r="T196" s="118"/>
      <c r="U196" s="118"/>
      <c r="V196" s="118"/>
      <c r="W196" s="118"/>
      <c r="X196" s="118"/>
      <c r="Y196" s="118"/>
      <c r="Z196" s="118"/>
    </row>
    <row r="197" spans="1:26" ht="17.399999999999999">
      <c r="A197" s="125" t="s">
        <v>336</v>
      </c>
      <c r="C197" s="164">
        <v>10</v>
      </c>
      <c r="D197" s="165">
        <v>15</v>
      </c>
      <c r="E197" s="166">
        <v>9</v>
      </c>
      <c r="F197" s="225"/>
      <c r="G197" s="166" t="s">
        <v>297</v>
      </c>
      <c r="H197" s="265">
        <f t="shared" ref="H197:K197" si="30">H179</f>
        <v>0.33333333333333298</v>
      </c>
      <c r="I197" s="265">
        <f t="shared" si="30"/>
        <v>0</v>
      </c>
      <c r="J197" s="265">
        <f t="shared" si="30"/>
        <v>0.4</v>
      </c>
      <c r="K197" s="258">
        <f t="shared" si="30"/>
        <v>0.11764705882352899</v>
      </c>
      <c r="L197" s="286">
        <f t="shared" si="22"/>
        <v>3.9215686274509803E-2</v>
      </c>
      <c r="M197" s="286">
        <f t="shared" si="23"/>
        <v>0</v>
      </c>
      <c r="N197" s="287">
        <f t="shared" si="24"/>
        <v>4.7058823529411799E-2</v>
      </c>
      <c r="O197" s="118"/>
      <c r="P197" s="118"/>
      <c r="Q197" s="118"/>
      <c r="R197" s="118"/>
      <c r="S197" s="118"/>
      <c r="T197" s="118"/>
      <c r="U197" s="118"/>
      <c r="V197" s="118"/>
      <c r="W197" s="118"/>
      <c r="X197" s="118"/>
      <c r="Y197" s="118"/>
      <c r="Z197" s="118"/>
    </row>
    <row r="198" spans="1:26" ht="17.399999999999999">
      <c r="A198" s="125" t="s">
        <v>337</v>
      </c>
      <c r="B198" s="118"/>
      <c r="C198" s="174">
        <v>20</v>
      </c>
      <c r="D198" s="175">
        <v>21</v>
      </c>
      <c r="E198" s="176">
        <v>19</v>
      </c>
      <c r="F198" s="233"/>
      <c r="G198" s="169" t="s">
        <v>301</v>
      </c>
      <c r="H198" s="264">
        <f t="shared" ref="H198:K198" si="31">H180</f>
        <v>4.76190476190477E-2</v>
      </c>
      <c r="I198" s="264">
        <f t="shared" si="31"/>
        <v>0</v>
      </c>
      <c r="J198" s="264">
        <f t="shared" si="31"/>
        <v>9.5238095238095205E-2</v>
      </c>
      <c r="K198" s="259">
        <f t="shared" si="31"/>
        <v>8.8235294117647106E-2</v>
      </c>
      <c r="L198" s="296">
        <f t="shared" si="22"/>
        <v>4.20168067226891E-3</v>
      </c>
      <c r="M198" s="296">
        <f t="shared" si="23"/>
        <v>0</v>
      </c>
      <c r="N198" s="297">
        <f t="shared" si="24"/>
        <v>8.4033613445378096E-3</v>
      </c>
      <c r="O198" s="118"/>
      <c r="P198" s="118"/>
      <c r="Q198" s="118"/>
      <c r="R198" s="118"/>
      <c r="S198" s="118"/>
      <c r="T198" s="118"/>
      <c r="U198" s="118"/>
      <c r="V198" s="118"/>
      <c r="W198" s="118"/>
      <c r="X198" s="118"/>
      <c r="Y198" s="118"/>
      <c r="Z198" s="118"/>
    </row>
    <row r="199" spans="1:26" ht="17.399999999999999">
      <c r="A199" s="117" t="s">
        <v>269</v>
      </c>
      <c r="B199" s="118"/>
      <c r="C199" s="143"/>
      <c r="D199" s="143"/>
      <c r="E199" s="143"/>
      <c r="F199" s="118"/>
      <c r="G199" s="137"/>
      <c r="H199" s="288">
        <f t="shared" ref="H199:J199" si="32">H181</f>
        <v>2.6457349896480302</v>
      </c>
      <c r="I199" s="288">
        <f t="shared" si="32"/>
        <v>3.0707246376811601</v>
      </c>
      <c r="J199" s="298">
        <f t="shared" si="32"/>
        <v>4.1152380952380998</v>
      </c>
      <c r="K199" s="137"/>
      <c r="L199" s="299">
        <f t="shared" ref="L199:N199" si="33">SUM(L191:L198)</f>
        <v>0.37941480940202199</v>
      </c>
      <c r="M199" s="299">
        <f t="shared" si="33"/>
        <v>0.426086956521739</v>
      </c>
      <c r="N199" s="297">
        <f t="shared" si="33"/>
        <v>0.57016806722689095</v>
      </c>
      <c r="O199" s="118"/>
      <c r="P199" s="118"/>
      <c r="Q199" s="118"/>
      <c r="R199" s="118"/>
      <c r="S199" s="118"/>
      <c r="T199" s="118"/>
      <c r="U199" s="118"/>
      <c r="V199" s="118"/>
      <c r="W199" s="118"/>
      <c r="X199" s="118"/>
      <c r="Y199" s="118"/>
      <c r="Z199" s="118"/>
    </row>
    <row r="200" spans="1:26" ht="17.399999999999999">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7.399999999999999">
      <c r="A201" s="147" t="s">
        <v>349</v>
      </c>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row>
    <row r="202" spans="1:26" ht="17.399999999999999">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spans="1:26" ht="17.399999999999999">
      <c r="A203" s="117" t="s">
        <v>350</v>
      </c>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spans="1:26" ht="17.399999999999999">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spans="1:26" ht="17.399999999999999">
      <c r="A205" s="117" t="s">
        <v>351</v>
      </c>
      <c r="B205" s="118"/>
      <c r="C205" s="118"/>
      <c r="D205" s="118"/>
      <c r="E205" s="118"/>
      <c r="F205" s="118"/>
      <c r="G205" s="118"/>
      <c r="H205" s="404" t="s">
        <v>249</v>
      </c>
      <c r="I205" s="405"/>
      <c r="J205" s="406"/>
      <c r="K205" s="118"/>
      <c r="L205" s="118"/>
      <c r="M205" s="118"/>
      <c r="N205" s="118"/>
      <c r="O205" s="118"/>
      <c r="P205" s="118"/>
      <c r="Q205" s="118"/>
      <c r="R205" s="118"/>
      <c r="S205" s="118"/>
      <c r="T205" s="118"/>
      <c r="U205" s="118"/>
      <c r="V205" s="118"/>
      <c r="W205" s="118"/>
      <c r="X205" s="118"/>
      <c r="Y205" s="118"/>
      <c r="Z205" s="118"/>
    </row>
    <row r="206" spans="1:26" ht="18">
      <c r="A206" s="118" t="s">
        <v>352</v>
      </c>
      <c r="B206" s="118"/>
      <c r="C206" s="118"/>
      <c r="D206" s="118"/>
      <c r="E206" s="222">
        <f>MAX(L199,M199,N199)</f>
        <v>0.57016806722689095</v>
      </c>
      <c r="F206" s="118"/>
      <c r="G206" s="118"/>
      <c r="H206" s="122" t="s">
        <v>253</v>
      </c>
      <c r="I206" s="123" t="s">
        <v>252</v>
      </c>
      <c r="J206" s="124" t="s">
        <v>251</v>
      </c>
      <c r="K206" s="118"/>
      <c r="L206" s="118"/>
      <c r="M206" s="118"/>
      <c r="N206" s="118"/>
      <c r="O206" s="118"/>
      <c r="P206" s="118"/>
      <c r="Q206" s="118"/>
      <c r="R206" s="118"/>
      <c r="S206" s="118"/>
      <c r="T206" s="118"/>
      <c r="U206" s="118"/>
      <c r="V206" s="118"/>
      <c r="W206" s="118"/>
      <c r="X206" s="118"/>
      <c r="Y206" s="118"/>
      <c r="Z206" s="118"/>
    </row>
    <row r="207" spans="1:26" ht="17.399999999999999">
      <c r="A207" s="118" t="s">
        <v>353</v>
      </c>
      <c r="B207" s="118"/>
      <c r="C207" s="118"/>
      <c r="D207" s="118"/>
      <c r="E207" s="222">
        <f>E206*0.1</f>
        <v>5.7016806722689099E-2</v>
      </c>
      <c r="F207" s="118"/>
      <c r="G207" s="289" t="s">
        <v>347</v>
      </c>
      <c r="H207" s="290">
        <f>N199</f>
        <v>0.57016806722689095</v>
      </c>
      <c r="I207" s="300">
        <f>M199</f>
        <v>0.426086956521739</v>
      </c>
      <c r="J207" s="301">
        <f>L199</f>
        <v>0.37941480940202199</v>
      </c>
      <c r="K207" s="118"/>
      <c r="L207" s="118"/>
      <c r="M207" s="118"/>
      <c r="N207" s="118"/>
      <c r="O207" s="118"/>
      <c r="P207" s="118"/>
      <c r="Q207" s="118"/>
      <c r="R207" s="118"/>
      <c r="S207" s="118"/>
      <c r="T207" s="118"/>
      <c r="U207" s="118"/>
      <c r="V207" s="118"/>
      <c r="W207" s="118"/>
      <c r="X207" s="118"/>
      <c r="Y207" s="118"/>
      <c r="Z207" s="118"/>
    </row>
    <row r="208" spans="1:26" ht="17.399999999999999">
      <c r="A208" s="118" t="s">
        <v>354</v>
      </c>
      <c r="B208" s="118"/>
      <c r="C208" s="118"/>
      <c r="D208" s="118"/>
      <c r="E208" s="222">
        <f>E206-E207</f>
        <v>0.51315126050420201</v>
      </c>
      <c r="F208" s="118"/>
      <c r="G208" s="289" t="s">
        <v>355</v>
      </c>
      <c r="H208" s="118"/>
      <c r="I208" s="118"/>
      <c r="J208" s="118"/>
      <c r="K208" s="118"/>
      <c r="L208" s="118"/>
      <c r="M208" s="118"/>
      <c r="N208" s="118"/>
      <c r="O208" s="118"/>
      <c r="P208" s="118"/>
      <c r="Q208" s="118"/>
      <c r="R208" s="118"/>
      <c r="S208" s="118"/>
      <c r="T208" s="118"/>
      <c r="U208" s="118"/>
      <c r="V208" s="118"/>
      <c r="W208" s="118"/>
      <c r="X208" s="118"/>
      <c r="Y208" s="118"/>
      <c r="Z208" s="118"/>
    </row>
    <row r="209" spans="1:26" ht="17.399999999999999">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spans="1:26" ht="36" customHeight="1">
      <c r="A210" s="291" t="s">
        <v>356</v>
      </c>
      <c r="B210" s="179"/>
      <c r="C210" s="179"/>
      <c r="D210" s="179"/>
      <c r="E210" s="179"/>
      <c r="F210" s="179"/>
      <c r="G210" s="179"/>
      <c r="H210" s="292"/>
      <c r="I210" s="179"/>
      <c r="J210" s="179"/>
      <c r="K210" s="179"/>
      <c r="L210" s="179"/>
      <c r="M210" s="179"/>
      <c r="N210" s="179"/>
      <c r="O210" s="179"/>
      <c r="P210" s="179"/>
      <c r="Q210" s="179"/>
      <c r="R210" s="179"/>
      <c r="S210" s="179"/>
      <c r="T210" s="179"/>
      <c r="U210" s="179"/>
      <c r="V210" s="179"/>
      <c r="W210" s="179"/>
      <c r="X210" s="179"/>
      <c r="Y210" s="179"/>
      <c r="Z210" s="179"/>
    </row>
    <row r="211" spans="1:26" ht="17.399999999999999">
      <c r="A211" s="293" t="s">
        <v>357</v>
      </c>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spans="1:26" ht="17.399999999999999">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spans="1:26" ht="18">
      <c r="A213" s="118"/>
      <c r="B213" s="118"/>
      <c r="C213" s="118"/>
      <c r="D213" s="118"/>
      <c r="E213" s="118"/>
      <c r="F213" s="118"/>
      <c r="G213" s="118"/>
      <c r="H213" s="294" t="s">
        <v>358</v>
      </c>
      <c r="I213" s="302" t="s">
        <v>251</v>
      </c>
      <c r="J213" s="303" t="s">
        <v>252</v>
      </c>
      <c r="K213" s="304" t="s">
        <v>253</v>
      </c>
      <c r="L213" s="118"/>
      <c r="M213" s="118"/>
      <c r="N213" s="118"/>
      <c r="O213" s="118"/>
      <c r="P213" s="118"/>
      <c r="Q213" s="118"/>
      <c r="R213" s="118"/>
      <c r="S213" s="118"/>
      <c r="T213" s="118"/>
      <c r="U213" s="118"/>
      <c r="V213" s="118"/>
      <c r="W213" s="118"/>
      <c r="X213" s="118"/>
      <c r="Y213" s="118"/>
      <c r="Z213" s="118"/>
    </row>
    <row r="214" spans="1:26" ht="34.799999999999997">
      <c r="A214" s="118"/>
      <c r="B214" s="118"/>
      <c r="C214" s="118"/>
      <c r="D214" s="118"/>
      <c r="E214" s="118"/>
      <c r="F214" s="118"/>
      <c r="G214" s="118"/>
      <c r="H214" s="295" t="s">
        <v>359</v>
      </c>
      <c r="I214" s="305">
        <v>0.37941480940202199</v>
      </c>
      <c r="J214" s="305">
        <v>0.426086956521739</v>
      </c>
      <c r="K214" s="306">
        <v>0.57016806722689095</v>
      </c>
      <c r="L214" s="118"/>
      <c r="M214" s="118"/>
      <c r="N214" s="118"/>
      <c r="O214" s="118"/>
      <c r="P214" s="118"/>
      <c r="Q214" s="118"/>
      <c r="R214" s="118"/>
      <c r="S214" s="118"/>
      <c r="T214" s="118"/>
      <c r="U214" s="118"/>
      <c r="V214" s="118"/>
      <c r="W214" s="118"/>
      <c r="X214" s="118"/>
      <c r="Y214" s="118"/>
      <c r="Z214" s="118"/>
    </row>
    <row r="215" spans="1:26" ht="17.399999999999999">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spans="1:26" ht="17.399999999999999">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spans="1:26" ht="17.399999999999999">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spans="1:26" ht="17.399999999999999">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spans="1:26" ht="17.399999999999999">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spans="1:26" ht="17.399999999999999">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spans="1:26" ht="17.399999999999999">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spans="1:26" ht="17.399999999999999">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spans="1:26" ht="17.399999999999999">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spans="1:26" ht="17.399999999999999">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spans="1:26" ht="17.399999999999999">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spans="1:26" ht="17.399999999999999">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spans="1:26" ht="17.399999999999999">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spans="1:26" ht="17.399999999999999">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spans="1:26" ht="17.399999999999999">
      <c r="A229" s="117"/>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spans="1:26" ht="17.399999999999999">
      <c r="A230" s="117"/>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spans="1:26" ht="17.399999999999999">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spans="1:26" ht="17.399999999999999">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spans="1:26" ht="17.399999999999999">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spans="1:26" ht="17.399999999999999">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spans="1:26" ht="17.399999999999999">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spans="1:26" ht="17.399999999999999">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spans="1:26" ht="17.399999999999999">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spans="1:26" ht="17.399999999999999">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spans="1:26" ht="17.399999999999999">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spans="1:26" ht="17.399999999999999">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spans="1:26" ht="17.399999999999999">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spans="1:26" ht="17.399999999999999">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spans="1:26" ht="17.399999999999999">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spans="1:26" ht="17.399999999999999">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spans="1:26" ht="17.399999999999999">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spans="1:26" ht="17.399999999999999">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spans="1:26" ht="17.399999999999999">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spans="1:26" ht="17.399999999999999">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spans="1:26" ht="17.399999999999999">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spans="1:26" ht="17.399999999999999">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spans="1:26" ht="17.399999999999999">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spans="1:26" ht="17.399999999999999">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spans="1:26" ht="17.399999999999999">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spans="1:26" ht="17.399999999999999">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spans="1:26" ht="17.399999999999999">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spans="1:26" ht="17.399999999999999">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spans="1:26" ht="17.399999999999999">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spans="1:26" ht="17.399999999999999">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spans="1:26" ht="17.399999999999999">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spans="1:26" ht="17.399999999999999">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spans="1:26" ht="17.399999999999999">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spans="1:26" ht="17.399999999999999">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spans="1:26" ht="17.399999999999999">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spans="1:26" ht="17.399999999999999">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spans="1:26" ht="17.399999999999999">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spans="1:26" ht="17.399999999999999">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spans="1:26" ht="17.399999999999999">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spans="1:26" ht="17.399999999999999">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spans="1:26" ht="17.399999999999999">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spans="1:26" ht="17.399999999999999">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spans="1:26" ht="17.399999999999999">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spans="1:26" ht="17.399999999999999">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spans="1:26" ht="17.399999999999999">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spans="1:26" ht="17.399999999999999">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spans="1:26" ht="17.399999999999999">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spans="1:26" ht="17.399999999999999">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spans="1:26" ht="17.399999999999999">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spans="1:26" ht="17.399999999999999">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spans="1:26" ht="17.399999999999999">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spans="1:26" ht="17.399999999999999">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spans="1:26" ht="17.399999999999999">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spans="1:26" ht="17.399999999999999">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spans="1:26" ht="17.399999999999999">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spans="1:26" ht="17.399999999999999">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spans="1:26" ht="17.399999999999999">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spans="1:26" ht="17.399999999999999">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spans="1:26" ht="17.399999999999999">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spans="1:26" ht="17.399999999999999">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spans="1:26" ht="17.399999999999999">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spans="1:26" ht="17.399999999999999">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spans="1:26" ht="17.399999999999999">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spans="1:26" ht="17.399999999999999">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spans="1:26" ht="17.399999999999999">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spans="1:26" ht="17.399999999999999">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spans="1:26" ht="17.399999999999999">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spans="1:26" ht="17.399999999999999">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spans="1:26" ht="17.399999999999999">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spans="1:26" ht="17.399999999999999">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spans="1:26" ht="17.399999999999999">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spans="1:26" ht="17.399999999999999">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spans="1:26" ht="17.399999999999999">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spans="1:26" ht="17.399999999999999">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spans="1:26" ht="17.399999999999999">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spans="1:26" ht="17.399999999999999">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spans="1:26" ht="17.399999999999999">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spans="1:26" ht="17.399999999999999">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spans="1:26" ht="17.399999999999999">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spans="1:26" ht="17.399999999999999">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spans="1:26" ht="17.399999999999999">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spans="1:26" ht="17.399999999999999">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spans="1:26" ht="17.399999999999999">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spans="1:26" ht="17.399999999999999">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spans="1:26" ht="17.399999999999999">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spans="1:26" ht="17.399999999999999">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spans="1:26" ht="17.399999999999999">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spans="1:26" ht="17.399999999999999">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spans="1:26" ht="17.399999999999999">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spans="1:26" ht="17.399999999999999">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spans="1:26" ht="17.399999999999999">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spans="1:26" ht="17.399999999999999">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spans="1:26" ht="17.399999999999999">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spans="1:26" ht="17.399999999999999">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spans="1:26" ht="17.399999999999999">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spans="1:26" ht="17.399999999999999">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spans="1:26" ht="17.399999999999999">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spans="1:26" ht="17.399999999999999">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spans="1:26" ht="17.399999999999999">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spans="1:26" ht="17.399999999999999">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spans="1:26" ht="17.399999999999999">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spans="1:26" ht="17.399999999999999">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spans="1:26" ht="17.399999999999999">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spans="1:26" ht="17.399999999999999">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spans="1:26" ht="17.399999999999999">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spans="1:26" ht="17.399999999999999">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spans="1:26" ht="17.399999999999999">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spans="1:26" ht="17.399999999999999">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spans="1:26" ht="17.399999999999999">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spans="1:26" ht="17.399999999999999">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spans="1:26" ht="17.399999999999999">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spans="1:26" ht="17.399999999999999">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spans="1:26" ht="17.399999999999999">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spans="1:26" ht="17.399999999999999">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spans="1:26" ht="17.399999999999999">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spans="1:26" ht="17.399999999999999">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spans="1:26" ht="17.399999999999999">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spans="1:26" ht="17.399999999999999">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spans="1:26" ht="17.399999999999999">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spans="1:26" ht="17.399999999999999">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spans="1:26" ht="17.399999999999999">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spans="1:26" ht="17.399999999999999">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spans="1:26" ht="17.399999999999999">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spans="1:26" ht="17.399999999999999">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spans="1:26" ht="17.399999999999999">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spans="1:26" ht="17.399999999999999">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spans="1:26" ht="17.399999999999999">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spans="1:26" ht="17.399999999999999">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spans="1:26" ht="17.399999999999999">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spans="1:26" ht="17.399999999999999">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spans="1:26" ht="17.399999999999999">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spans="1:26" ht="17.399999999999999">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spans="1:26" ht="17.399999999999999">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spans="1:26" ht="17.399999999999999">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spans="1:26" ht="17.399999999999999">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spans="1:26" ht="17.399999999999999">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spans="1:26" ht="17.399999999999999">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spans="1:26" ht="17.399999999999999">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spans="1:26" ht="17.399999999999999">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spans="1:26" ht="17.399999999999999">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spans="1:26" ht="17.399999999999999">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spans="1:26" ht="17.399999999999999">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spans="1:26" ht="17.399999999999999">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spans="1:26" ht="17.399999999999999">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spans="1:26" ht="17.399999999999999">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spans="1:26" ht="17.399999999999999">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spans="1:26" ht="17.399999999999999">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spans="1:26" ht="17.399999999999999">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spans="1:26" ht="17.399999999999999">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spans="1:26" ht="17.399999999999999">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spans="1:26" ht="17.399999999999999">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spans="1:26" ht="17.399999999999999">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spans="1:26" ht="17.399999999999999">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spans="1:26" ht="17.399999999999999">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spans="1:26" ht="17.399999999999999">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spans="1:26" ht="17.399999999999999">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spans="1:26" ht="17.399999999999999">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spans="1:26" ht="17.399999999999999">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spans="1:26" ht="17.399999999999999">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spans="1:26" ht="17.399999999999999">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spans="1:26" ht="17.399999999999999">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spans="1:26" ht="17.399999999999999">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spans="1:26" ht="17.399999999999999">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spans="1:26" ht="17.399999999999999">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spans="1:26" ht="17.399999999999999">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spans="1:26" ht="17.399999999999999">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spans="1:26" ht="17.399999999999999">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spans="1:26" ht="17.399999999999999">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spans="1:26" ht="17.399999999999999">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spans="1:26" ht="17.399999999999999">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spans="1:26" ht="17.399999999999999">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spans="1:26" ht="17.399999999999999">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spans="1:26" ht="17.399999999999999">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spans="1:26" ht="17.399999999999999">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spans="1:26" ht="17.399999999999999">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spans="1:26" ht="17.399999999999999">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spans="1:26" ht="17.399999999999999">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spans="1:26" ht="17.399999999999999">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spans="1:26" ht="17.399999999999999">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spans="1:26" ht="17.399999999999999">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spans="1:26" ht="17.399999999999999">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spans="1:26" ht="17.399999999999999">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spans="1:26" ht="17.399999999999999">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spans="1:26" ht="17.399999999999999">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spans="1:26" ht="17.399999999999999">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spans="1:26" ht="17.399999999999999">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spans="1:26" ht="17.399999999999999">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spans="1:26" ht="17.399999999999999">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spans="1:26" ht="17.399999999999999">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spans="1:26" ht="17.399999999999999">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spans="1:26" ht="17.399999999999999">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spans="1:26" ht="17.399999999999999">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spans="1:26" ht="17.399999999999999">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spans="1:26" ht="17.399999999999999">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spans="1:26" ht="17.399999999999999">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spans="1:26" ht="17.399999999999999">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spans="1:26" ht="17.399999999999999">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spans="1:26" ht="17.399999999999999">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spans="1:26" ht="17.399999999999999">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spans="1:26" ht="17.399999999999999">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spans="1:26" ht="17.399999999999999">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spans="1:26" ht="17.399999999999999">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spans="1:26" ht="17.399999999999999">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spans="1:26" ht="17.399999999999999">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spans="1:26" ht="17.399999999999999">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spans="1:26" ht="17.399999999999999">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spans="1:26" ht="17.399999999999999">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spans="1:26" ht="17.399999999999999">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spans="1:26" ht="17.399999999999999">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spans="1:26" ht="17.399999999999999">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spans="1:26" ht="17.399999999999999">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spans="1:26" ht="17.399999999999999">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spans="1:26" ht="17.399999999999999">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spans="1:26" ht="17.399999999999999">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spans="1:26" ht="17.399999999999999">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spans="1:26" ht="17.399999999999999">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spans="1:26" ht="17.399999999999999">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spans="1:26" ht="17.399999999999999">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spans="1:26" ht="17.399999999999999">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spans="1:26" ht="17.399999999999999">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spans="1:26" ht="17.399999999999999">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spans="1:26" ht="17.399999999999999">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spans="1:26" ht="17.399999999999999">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spans="1:26" ht="17.399999999999999">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spans="1:26" ht="17.399999999999999">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spans="1:26" ht="17.399999999999999">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spans="1:26" ht="17.399999999999999">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spans="1:26" ht="17.399999999999999">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spans="1:26" ht="17.399999999999999">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spans="1:26" ht="17.399999999999999">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spans="1:26" ht="17.399999999999999">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spans="1:26" ht="17.399999999999999">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spans="1:26" ht="17.399999999999999">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spans="1:26" ht="17.399999999999999">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spans="1:26" ht="17.399999999999999">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spans="1:26" ht="17.399999999999999">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spans="1:26" ht="17.399999999999999">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spans="1:26" ht="17.399999999999999">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spans="1:26" ht="17.399999999999999">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spans="1:26" ht="17.399999999999999">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spans="1:26" ht="17.399999999999999">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spans="1:26" ht="17.399999999999999">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spans="1:26" ht="17.399999999999999">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spans="1:26" ht="17.399999999999999">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spans="1:26" ht="17.399999999999999">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spans="1:26" ht="17.399999999999999">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spans="1:26" ht="17.399999999999999">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spans="1:26" ht="17.399999999999999">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spans="1:26" ht="17.399999999999999">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spans="1:26" ht="17.399999999999999">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spans="1:26" ht="17.399999999999999">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spans="1:26" ht="17.399999999999999">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spans="1:26" ht="17.399999999999999">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spans="1:26" ht="17.399999999999999">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spans="1:26" ht="17.399999999999999">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spans="1:26" ht="17.399999999999999">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spans="1:26" ht="17.399999999999999">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spans="1:26" ht="17.399999999999999">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spans="1:26" ht="17.399999999999999">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spans="1:26" ht="17.399999999999999">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spans="1:26" ht="17.399999999999999">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spans="1:26" ht="17.399999999999999">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spans="1:26" ht="17.399999999999999">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spans="1:26" ht="17.399999999999999">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spans="1:26" ht="17.399999999999999">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spans="1:26" ht="17.399999999999999">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spans="1:26" ht="17.399999999999999">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spans="1:26" ht="17.399999999999999">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spans="1:26" ht="17.399999999999999">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spans="1:26" ht="17.399999999999999">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spans="1:26" ht="17.399999999999999">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spans="1:26" ht="17.399999999999999">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spans="1:26" ht="17.399999999999999">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spans="1:26" ht="17.399999999999999">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spans="1:26" ht="17.399999999999999">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spans="1:26" ht="17.399999999999999">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spans="1:26" ht="17.399999999999999">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spans="1:26" ht="17.399999999999999">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spans="1:26" ht="17.399999999999999">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spans="1:26" ht="17.399999999999999">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spans="1:26" ht="17.399999999999999">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spans="1:26" ht="17.399999999999999">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spans="1:26" ht="17.399999999999999">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spans="1:26" ht="17.399999999999999">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spans="1:26" ht="17.399999999999999">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spans="1:26" ht="17.399999999999999">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spans="1:26" ht="17.399999999999999">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spans="1:26" ht="17.399999999999999">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spans="1:26" ht="17.399999999999999">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spans="1:26" ht="17.399999999999999">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spans="1:26" ht="17.399999999999999">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spans="1:26" ht="17.399999999999999">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spans="1:26" ht="17.399999999999999">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spans="1:26" ht="17.399999999999999">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spans="1:26" ht="17.399999999999999">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spans="1:26" ht="17.399999999999999">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spans="1:26" ht="17.399999999999999">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spans="1:26" ht="17.399999999999999">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spans="1:26" ht="17.399999999999999">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spans="1:26" ht="17.399999999999999">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spans="1:26" ht="17.399999999999999">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spans="1:26" ht="17.399999999999999">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spans="1:26" ht="17.399999999999999">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spans="1:26" ht="17.399999999999999">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spans="1:26" ht="17.399999999999999">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spans="1:26" ht="17.399999999999999">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spans="1:26" ht="17.399999999999999">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spans="1:26" ht="17.399999999999999">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spans="1:26" ht="17.399999999999999">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spans="1:26" ht="17.399999999999999">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spans="1:26" ht="17.399999999999999">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spans="1:26" ht="17.399999999999999">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spans="1:26" ht="17.399999999999999">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spans="1:26" ht="17.399999999999999">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spans="1:26" ht="17.399999999999999">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spans="1:26" ht="17.399999999999999">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spans="1:26" ht="17.399999999999999">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spans="1:26" ht="17.399999999999999">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spans="1:26" ht="17.399999999999999">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spans="1:26" ht="17.399999999999999">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spans="1:26" ht="17.399999999999999">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spans="1:26" ht="17.399999999999999">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spans="1:26" ht="17.399999999999999">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spans="1:26" ht="17.399999999999999">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spans="1:26" ht="17.399999999999999">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spans="1:26" ht="17.399999999999999">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spans="1:26" ht="17.399999999999999">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spans="1:26" ht="17.399999999999999">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spans="1:26" ht="17.399999999999999">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spans="1:26" ht="17.399999999999999">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spans="1:26" ht="17.399999999999999">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spans="1:26" ht="17.399999999999999">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spans="1:26" ht="17.399999999999999">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spans="1:26" ht="17.399999999999999">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spans="1:26" ht="17.399999999999999">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spans="1:26" ht="17.399999999999999">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spans="1:26" ht="17.399999999999999">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spans="1:26" ht="17.399999999999999">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spans="1:26" ht="17.399999999999999">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spans="1:26" ht="17.399999999999999">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spans="1:26" ht="17.399999999999999">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spans="1:26" ht="17.399999999999999">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spans="1:26" ht="17.399999999999999">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spans="1:26" ht="17.399999999999999">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spans="1:26" ht="17.399999999999999">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spans="1:26" ht="17.399999999999999">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spans="1:26" ht="17.399999999999999">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spans="1:26" ht="17.399999999999999">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spans="1:26" ht="17.399999999999999">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spans="1:26" ht="17.399999999999999">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spans="1:26" ht="17.399999999999999">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spans="1:26" ht="17.399999999999999">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spans="1:26" ht="17.399999999999999">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spans="1:26" ht="17.399999999999999">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spans="1:26" ht="17.399999999999999">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spans="1:26" ht="17.399999999999999">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spans="1:26" ht="17.399999999999999">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spans="1:26" ht="17.399999999999999">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spans="1:26" ht="17.399999999999999">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spans="1:26" ht="17.399999999999999">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spans="1:26" ht="17.399999999999999">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spans="1:26" ht="17.399999999999999">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spans="1:26" ht="17.399999999999999">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spans="1:26" ht="17.399999999999999">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spans="1:26" ht="17.399999999999999">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spans="1:26" ht="17.399999999999999">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spans="1:26" ht="17.399999999999999">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spans="1:26" ht="17.399999999999999">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spans="1:26" ht="17.399999999999999">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spans="1:26" ht="17.399999999999999">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spans="1:26" ht="17.399999999999999">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spans="1:26" ht="17.399999999999999">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spans="1:26" ht="17.399999999999999">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spans="1:26" ht="17.399999999999999">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spans="1:26" ht="17.399999999999999">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spans="1:26" ht="17.399999999999999">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spans="1:26" ht="17.399999999999999">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spans="1:26" ht="17.399999999999999">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spans="1:26" ht="17.399999999999999">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spans="1:26" ht="17.399999999999999">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spans="1:26" ht="17.399999999999999">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spans="1:26" ht="17.399999999999999">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spans="1:26" ht="17.399999999999999">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spans="1:26" ht="17.399999999999999">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spans="1:26" ht="17.399999999999999">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spans="1:26" ht="17.399999999999999">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spans="1:26" ht="17.399999999999999">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spans="1:26" ht="17.399999999999999">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spans="1:26" ht="17.399999999999999">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spans="1:26" ht="17.399999999999999">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spans="1:26" ht="17.399999999999999">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spans="1:26" ht="17.399999999999999">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spans="1:26" ht="17.399999999999999">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spans="1:26" ht="17.399999999999999">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spans="1:26" ht="17.399999999999999">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spans="1:26" ht="17.399999999999999">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spans="1:26" ht="17.399999999999999">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spans="1:26" ht="17.399999999999999">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spans="1:26" ht="17.399999999999999">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spans="1:26" ht="17.399999999999999">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spans="1:26" ht="17.399999999999999">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spans="1:26" ht="17.399999999999999">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spans="1:26" ht="17.399999999999999">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spans="1:26" ht="17.399999999999999">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spans="1:26" ht="17.399999999999999">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spans="1:26" ht="17.399999999999999">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spans="1:26" ht="17.399999999999999">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spans="1:26" ht="17.399999999999999">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spans="1:26" ht="17.399999999999999">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spans="1:26" ht="17.399999999999999">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spans="1:26" ht="17.399999999999999">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spans="1:26" ht="17.399999999999999">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spans="1:26" ht="17.399999999999999">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spans="1:26" ht="17.399999999999999">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spans="1:26" ht="17.399999999999999">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spans="1:26" ht="17.399999999999999">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spans="1:26" ht="17.399999999999999">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spans="1:26" ht="17.399999999999999">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spans="1:26" ht="17.399999999999999">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spans="1:26" ht="17.399999999999999">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spans="1:26" ht="17.399999999999999">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spans="1:26" ht="17.399999999999999">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spans="1:26" ht="17.399999999999999">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spans="1:26" ht="17.399999999999999">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spans="1:26" ht="17.399999999999999">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spans="1:26" ht="17.399999999999999">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spans="1:26" ht="17.399999999999999">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spans="1:26" ht="17.399999999999999">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spans="1:26" ht="17.399999999999999">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spans="1:26" ht="17.399999999999999">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spans="1:26" ht="17.399999999999999">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spans="1:26" ht="17.399999999999999">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spans="1:26" ht="17.399999999999999">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spans="1:26" ht="17.399999999999999">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spans="1:26" ht="17.399999999999999">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spans="1:26" ht="17.399999999999999">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spans="1:26" ht="17.399999999999999">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spans="1:26" ht="17.399999999999999">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spans="1:26" ht="17.399999999999999">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spans="1:26" ht="17.399999999999999">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spans="1:26" ht="17.399999999999999">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spans="1:26" ht="17.399999999999999">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spans="1:26" ht="17.399999999999999">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spans="1:26" ht="17.399999999999999">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spans="1:26" ht="17.399999999999999">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spans="1:26" ht="17.399999999999999">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spans="1:26" ht="17.399999999999999">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spans="1:26" ht="17.399999999999999">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spans="1:26" ht="17.399999999999999">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spans="1:26" ht="17.399999999999999">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spans="1:26" ht="17.399999999999999">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spans="1:26" ht="17.399999999999999">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spans="1:26" ht="17.399999999999999">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spans="1:26" ht="17.399999999999999">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spans="1:26" ht="17.399999999999999">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spans="1:26" ht="17.399999999999999">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spans="1:26" ht="17.399999999999999">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spans="1:26" ht="17.399999999999999">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spans="1:26" ht="17.399999999999999">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spans="1:26" ht="17.399999999999999">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spans="1:26" ht="17.399999999999999">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spans="1:26" ht="17.399999999999999">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spans="1:26" ht="17.399999999999999">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spans="1:26" ht="17.399999999999999">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spans="1:26" ht="17.399999999999999">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spans="1:26" ht="17.399999999999999">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spans="1:26" ht="17.399999999999999">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spans="1:26" ht="17.399999999999999">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spans="1:26" ht="17.399999999999999">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spans="1:26" ht="17.399999999999999">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spans="1:26" ht="17.399999999999999">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spans="1:26" ht="17.399999999999999">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spans="1:26" ht="17.399999999999999">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spans="1:26" ht="17.399999999999999">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spans="1:26" ht="17.399999999999999">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spans="1:26" ht="17.399999999999999">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spans="1:26" ht="17.399999999999999">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spans="1:26" ht="17.399999999999999">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spans="1:26" ht="17.399999999999999">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spans="1:26" ht="17.399999999999999">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spans="1:26" ht="17.399999999999999">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spans="1:26" ht="17.399999999999999">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spans="1:26" ht="17.399999999999999">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spans="1:26" ht="17.399999999999999">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spans="1:26" ht="17.399999999999999">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spans="1:26" ht="17.399999999999999">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spans="1:26" ht="17.399999999999999">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spans="1:26" ht="17.399999999999999">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spans="1:26" ht="17.399999999999999">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spans="1:26" ht="17.399999999999999">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spans="1:26" ht="17.399999999999999">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spans="1:26" ht="17.399999999999999">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spans="1:26" ht="17.399999999999999">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spans="1:26" ht="17.399999999999999">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spans="1:26" ht="17.399999999999999">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spans="1:26" ht="17.399999999999999">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spans="1:26" ht="17.399999999999999">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spans="1:26" ht="17.399999999999999">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spans="1:26" ht="17.399999999999999">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spans="1:26" ht="17.399999999999999">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spans="1:26" ht="17.399999999999999">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spans="1:26" ht="17.399999999999999">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spans="1:26" ht="17.399999999999999">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spans="1:26" ht="17.399999999999999">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spans="1:26" ht="17.399999999999999">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spans="1:26" ht="17.399999999999999">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spans="1:26" ht="17.399999999999999">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spans="1:26" ht="17.399999999999999">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spans="1:26" ht="17.399999999999999">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spans="1:26" ht="17.399999999999999">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spans="1:26" ht="17.399999999999999">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spans="1:26" ht="17.399999999999999">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spans="1:26" ht="17.399999999999999">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spans="1:26" ht="17.399999999999999">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spans="1:26" ht="17.399999999999999">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spans="1:26" ht="17.399999999999999">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spans="1:26" ht="17.399999999999999">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spans="1:26" ht="17.399999999999999">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spans="1:26" ht="17.399999999999999">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spans="1:26" ht="17.399999999999999">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spans="1:26" ht="17.399999999999999">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spans="1:26" ht="17.399999999999999">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spans="1:26" ht="17.399999999999999">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spans="1:26" ht="17.399999999999999">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spans="1:26" ht="17.399999999999999">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spans="1:26" ht="17.399999999999999">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spans="1:26" ht="17.399999999999999">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spans="1:26" ht="17.399999999999999">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spans="1:26" ht="17.399999999999999">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spans="1:26" ht="17.399999999999999">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spans="1:26" ht="17.399999999999999">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spans="1:26" ht="17.399999999999999">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spans="1:26" ht="17.399999999999999">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spans="1:26" ht="17.399999999999999">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spans="1:26" ht="17.399999999999999">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spans="1:26" ht="17.399999999999999">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spans="1:26" ht="17.399999999999999">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spans="1:26" ht="17.399999999999999">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spans="1:26" ht="17.399999999999999">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spans="1:26" ht="17.399999999999999">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spans="1:26" ht="17.399999999999999">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spans="1:26" ht="17.399999999999999">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spans="1:26" ht="17.399999999999999">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spans="1:26" ht="17.399999999999999">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spans="1:26" ht="17.399999999999999">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spans="1:26" ht="17.399999999999999">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spans="1:26" ht="17.399999999999999">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spans="1:26" ht="17.399999999999999">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spans="1:26" ht="17.399999999999999">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spans="1:26" ht="17.399999999999999">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spans="1:26" ht="17.399999999999999">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spans="1:26" ht="17.399999999999999">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spans="1:26" ht="17.399999999999999">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spans="1:26" ht="17.399999999999999">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spans="1:26" ht="17.399999999999999">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spans="1:26" ht="17.399999999999999">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spans="1:26" ht="17.399999999999999">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spans="1:26" ht="17.399999999999999">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spans="1:26" ht="17.399999999999999">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spans="1:26" ht="17.399999999999999">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spans="1:26" ht="17.399999999999999">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spans="1:26" ht="17.399999999999999">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spans="1:26" ht="17.399999999999999">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spans="1:26" ht="17.399999999999999">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spans="1:26" ht="17.399999999999999">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spans="1:26" ht="17.399999999999999">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spans="1:26" ht="17.399999999999999">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spans="1:26" ht="17.399999999999999">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spans="1:26" ht="17.399999999999999">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spans="1:26" ht="17.399999999999999">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spans="1:26" ht="17.399999999999999">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spans="1:26" ht="17.399999999999999">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spans="1:26" ht="17.399999999999999">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spans="1:26" ht="17.399999999999999">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spans="1:26" ht="17.399999999999999">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spans="1:26" ht="17.399999999999999">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spans="1:26" ht="17.399999999999999">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spans="1:26" ht="17.399999999999999">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spans="1:26" ht="17.399999999999999">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spans="1:26" ht="17.399999999999999">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spans="1:26" ht="17.399999999999999">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spans="1:26" ht="17.399999999999999">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spans="1:26" ht="17.399999999999999">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spans="1:26" ht="17.399999999999999">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spans="1:26" ht="17.399999999999999">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spans="1:26" ht="17.399999999999999">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spans="1:26" ht="17.399999999999999">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spans="1:26" ht="17.399999999999999">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spans="1:26" ht="17.399999999999999">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spans="1:26" ht="17.399999999999999">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spans="1:26" ht="17.399999999999999">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spans="1:26" ht="17.399999999999999">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spans="1:26" ht="17.399999999999999">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spans="1:26" ht="17.399999999999999">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spans="1:26" ht="17.399999999999999">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spans="1:26" ht="17.399999999999999">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spans="1:26" ht="17.399999999999999">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spans="1:26" ht="17.399999999999999">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spans="1:26" ht="17.399999999999999">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spans="1:26" ht="17.399999999999999">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spans="1:26" ht="17.399999999999999">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spans="1:26" ht="17.399999999999999">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spans="1:26" ht="17.399999999999999">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spans="1:26" ht="17.399999999999999">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spans="1:26" ht="17.399999999999999">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spans="1:26" ht="17.399999999999999">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spans="1:26" ht="17.399999999999999">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spans="1:26" ht="17.399999999999999">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spans="1:26" ht="17.399999999999999">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spans="1:26" ht="17.399999999999999">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spans="1:26" ht="17.399999999999999">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spans="1:26" ht="17.399999999999999">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spans="1:26" ht="17.399999999999999">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spans="1:26" ht="17.399999999999999">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spans="1:26" ht="17.399999999999999">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spans="1:26" ht="17.399999999999999">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spans="1:26" ht="17.399999999999999">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spans="1:26" ht="17.399999999999999">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spans="1:26" ht="17.399999999999999">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spans="1:26" ht="17.399999999999999">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spans="1:26" ht="17.399999999999999">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spans="1:26" ht="17.399999999999999">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spans="1:26" ht="17.399999999999999">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spans="1:26" ht="17.399999999999999">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spans="1:26" ht="17.399999999999999">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spans="1:26" ht="17.399999999999999">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spans="1:26" ht="17.399999999999999">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spans="1:26" ht="17.399999999999999">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spans="1:26" ht="17.399999999999999">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spans="1:26" ht="17.399999999999999">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spans="1:26" ht="17.399999999999999">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spans="1:26" ht="17.399999999999999">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spans="1:26" ht="17.399999999999999">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spans="1:26" ht="17.399999999999999">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spans="1:26" ht="17.399999999999999">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spans="1:26" ht="17.399999999999999">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spans="1:26" ht="17.399999999999999">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spans="1:26" ht="17.399999999999999">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spans="1:26" ht="17.399999999999999">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spans="1:26" ht="17.399999999999999">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spans="1:26" ht="17.399999999999999">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spans="1:26" ht="17.399999999999999">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spans="1:26" ht="17.399999999999999">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spans="1:26" ht="17.399999999999999">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spans="1:26" ht="17.399999999999999">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spans="1:26" ht="17.399999999999999">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spans="1:26" ht="17.399999999999999">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spans="1:26" ht="17.399999999999999">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spans="1:26" ht="17.399999999999999">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spans="1:26" ht="17.399999999999999">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spans="1:26" ht="17.399999999999999">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spans="1:26" ht="17.399999999999999">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spans="1:26" ht="17.399999999999999">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spans="1:26" ht="17.399999999999999">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spans="1:26" ht="17.399999999999999">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spans="1:26" ht="17.399999999999999">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spans="1:26" ht="17.399999999999999">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spans="1:26" ht="17.399999999999999">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spans="1:26" ht="17.399999999999999">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spans="1:26" ht="17.399999999999999">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spans="1:26" ht="17.399999999999999">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spans="1:26" ht="17.399999999999999">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spans="1:26" ht="17.399999999999999">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spans="1:26" ht="17.399999999999999">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spans="1:26" ht="17.399999999999999">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spans="1:26" ht="17.399999999999999">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spans="1:26" ht="17.399999999999999">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spans="1:26" ht="17.399999999999999">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spans="1:26" ht="17.399999999999999">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spans="1:26" ht="17.399999999999999">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spans="1:26" ht="17.399999999999999">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spans="1:26" ht="17.399999999999999">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spans="1:26" ht="17.399999999999999">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spans="1:26" ht="17.399999999999999">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spans="1:26" ht="17.399999999999999">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spans="1:26" ht="17.399999999999999">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spans="1:26" ht="17.399999999999999">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spans="1:26" ht="17.399999999999999">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spans="1:26" ht="17.399999999999999">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spans="1:26" ht="17.399999999999999">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spans="1:26" ht="17.399999999999999">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spans="1:26" ht="17.399999999999999">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spans="1:26" ht="17.399999999999999">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spans="1:26" ht="17.399999999999999">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spans="1:26" ht="17.399999999999999">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spans="1:26" ht="17.399999999999999">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spans="1:26" ht="17.399999999999999">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spans="1:26" ht="17.399999999999999">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spans="1:26" ht="17.399999999999999">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spans="1:26" ht="17.399999999999999">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spans="1:26" ht="17.399999999999999">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spans="1:26" ht="17.399999999999999">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spans="1:26" ht="17.399999999999999">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spans="1:26" ht="17.399999999999999">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spans="1:26" ht="17.399999999999999">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spans="1:26" ht="17.399999999999999">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spans="1:26" ht="17.399999999999999">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spans="1:26" ht="17.399999999999999">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spans="1:26" ht="17.399999999999999">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spans="1:26" ht="17.399999999999999">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spans="1:26" ht="17.399999999999999">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spans="1:26" ht="17.399999999999999">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spans="1:26" ht="17.399999999999999">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spans="1:26" ht="17.399999999999999">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spans="1:26" ht="17.399999999999999">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spans="1:26" ht="17.399999999999999">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spans="1:26" ht="17.399999999999999">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spans="1:26" ht="17.399999999999999">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spans="1:26" ht="17.399999999999999">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spans="1:26" ht="17.399999999999999">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spans="1:26" ht="17.399999999999999">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spans="1:26" ht="17.399999999999999">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spans="1:26" ht="17.399999999999999">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spans="1:26" ht="17.399999999999999">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spans="1:26" ht="17.399999999999999">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spans="1:26" ht="17.399999999999999">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spans="1:26" ht="17.399999999999999">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spans="1:26" ht="17.399999999999999">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spans="1:26" ht="17.399999999999999">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spans="1:26" ht="17.399999999999999">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spans="1:26" ht="17.399999999999999">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spans="1:26" ht="17.399999999999999">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spans="1:26" ht="17.399999999999999">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spans="1:26" ht="17.399999999999999">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spans="1:26" ht="17.399999999999999">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spans="1:26" ht="17.399999999999999">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spans="1:26" ht="17.399999999999999">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spans="1:26" ht="17.399999999999999">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spans="1:26" ht="17.399999999999999">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spans="1:26" ht="17.399999999999999">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spans="1:26" ht="17.399999999999999">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spans="1:26" ht="17.399999999999999">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spans="1:26" ht="17.399999999999999">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spans="1:26" ht="17.399999999999999">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spans="1:26" ht="17.399999999999999">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spans="1:26" ht="17.399999999999999">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sheetData>
  <mergeCells count="14">
    <mergeCell ref="L189:N189"/>
    <mergeCell ref="H205:J205"/>
    <mergeCell ref="C131:E131"/>
    <mergeCell ref="H131:J131"/>
    <mergeCell ref="C171:E171"/>
    <mergeCell ref="H171:J171"/>
    <mergeCell ref="C189:E189"/>
    <mergeCell ref="H189:J189"/>
    <mergeCell ref="C8:E8"/>
    <mergeCell ref="C30:E30"/>
    <mergeCell ref="C44:E44"/>
    <mergeCell ref="H44:J44"/>
    <mergeCell ref="C117:E117"/>
    <mergeCell ref="H117:J117"/>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6"/>
  <sheetViews>
    <sheetView workbookViewId="0">
      <selection activeCell="E5" sqref="E5"/>
    </sheetView>
  </sheetViews>
  <sheetFormatPr defaultColWidth="8.88671875" defaultRowHeight="14.4"/>
  <cols>
    <col min="1" max="1" width="4.33203125" style="101" customWidth="1"/>
    <col min="2" max="2" width="26.33203125" style="89" customWidth="1"/>
    <col min="3" max="3" width="31" style="89" customWidth="1"/>
    <col min="4" max="4" width="38.77734375" style="89" customWidth="1"/>
    <col min="5" max="5" width="47" style="89" customWidth="1"/>
    <col min="6" max="6" width="55.109375" style="89" customWidth="1"/>
    <col min="7" max="16384" width="8.88671875" style="89"/>
  </cols>
  <sheetData>
    <row r="1" spans="1:6" ht="28.8">
      <c r="A1" s="102" t="s">
        <v>360</v>
      </c>
      <c r="B1" s="103" t="s">
        <v>361</v>
      </c>
      <c r="C1" s="103" t="s">
        <v>362</v>
      </c>
      <c r="D1" s="103" t="s">
        <v>363</v>
      </c>
      <c r="E1" s="103" t="s">
        <v>364</v>
      </c>
      <c r="F1" s="104" t="s">
        <v>365</v>
      </c>
    </row>
    <row r="2" spans="1:6" ht="57.6">
      <c r="A2" s="105">
        <v>1</v>
      </c>
      <c r="B2" s="106" t="s">
        <v>366</v>
      </c>
      <c r="C2" s="106" t="s">
        <v>367</v>
      </c>
      <c r="D2" s="106" t="s">
        <v>368</v>
      </c>
      <c r="E2" s="106" t="s">
        <v>369</v>
      </c>
      <c r="F2" s="107" t="s">
        <v>370</v>
      </c>
    </row>
    <row r="3" spans="1:6" ht="57.6">
      <c r="A3" s="108"/>
      <c r="B3" s="32"/>
      <c r="C3" s="32" t="s">
        <v>371</v>
      </c>
      <c r="D3" s="32" t="s">
        <v>372</v>
      </c>
      <c r="E3" s="32" t="s">
        <v>373</v>
      </c>
      <c r="F3" s="109" t="s">
        <v>374</v>
      </c>
    </row>
    <row r="4" spans="1:6" ht="43.2">
      <c r="A4" s="108"/>
      <c r="B4" s="32"/>
      <c r="C4" s="32" t="s">
        <v>375</v>
      </c>
      <c r="D4" s="110" t="s">
        <v>376</v>
      </c>
      <c r="E4" s="110" t="s">
        <v>377</v>
      </c>
      <c r="F4" s="111" t="s">
        <v>378</v>
      </c>
    </row>
    <row r="5" spans="1:6" ht="43.2">
      <c r="A5" s="108">
        <v>2</v>
      </c>
      <c r="B5" s="32" t="s">
        <v>379</v>
      </c>
      <c r="C5" s="32" t="s">
        <v>380</v>
      </c>
      <c r="D5" s="32" t="s">
        <v>381</v>
      </c>
      <c r="E5" s="32" t="s">
        <v>382</v>
      </c>
      <c r="F5" s="109" t="s">
        <v>383</v>
      </c>
    </row>
    <row r="6" spans="1:6" ht="43.2">
      <c r="A6" s="108"/>
      <c r="B6" s="32"/>
      <c r="C6" s="32" t="s">
        <v>384</v>
      </c>
      <c r="D6" s="32" t="s">
        <v>385</v>
      </c>
      <c r="E6" s="32" t="s">
        <v>386</v>
      </c>
      <c r="F6" s="109" t="s">
        <v>387</v>
      </c>
    </row>
    <row r="7" spans="1:6" ht="43.2">
      <c r="A7" s="108">
        <v>3</v>
      </c>
      <c r="B7" s="32" t="s">
        <v>388</v>
      </c>
      <c r="C7" s="32" t="s">
        <v>389</v>
      </c>
      <c r="D7" s="32" t="s">
        <v>390</v>
      </c>
      <c r="E7" s="32" t="s">
        <v>391</v>
      </c>
      <c r="F7" s="109" t="s">
        <v>392</v>
      </c>
    </row>
    <row r="8" spans="1:6" ht="28.8">
      <c r="A8" s="108"/>
      <c r="B8" s="32"/>
      <c r="C8" s="32" t="s">
        <v>393</v>
      </c>
      <c r="D8" s="32" t="s">
        <v>394</v>
      </c>
      <c r="E8" s="32" t="s">
        <v>395</v>
      </c>
      <c r="F8" s="109" t="s">
        <v>396</v>
      </c>
    </row>
    <row r="9" spans="1:6" ht="43.2">
      <c r="A9" s="108"/>
      <c r="B9" s="32"/>
      <c r="C9" s="32" t="s">
        <v>397</v>
      </c>
      <c r="D9" s="32" t="s">
        <v>398</v>
      </c>
      <c r="E9" s="32" t="s">
        <v>399</v>
      </c>
      <c r="F9" s="109" t="s">
        <v>400</v>
      </c>
    </row>
    <row r="10" spans="1:6" ht="43.2">
      <c r="A10" s="108">
        <v>4</v>
      </c>
      <c r="B10" s="32" t="s">
        <v>401</v>
      </c>
      <c r="C10" s="32"/>
      <c r="D10" s="32"/>
      <c r="E10" s="32"/>
      <c r="F10" s="109"/>
    </row>
    <row r="11" spans="1:6">
      <c r="A11" s="108">
        <v>5</v>
      </c>
      <c r="B11" s="32" t="s">
        <v>402</v>
      </c>
      <c r="C11" s="32"/>
      <c r="D11" s="32"/>
      <c r="E11" s="32"/>
      <c r="F11" s="109"/>
    </row>
    <row r="12" spans="1:6" ht="28.8">
      <c r="A12" s="108">
        <v>6</v>
      </c>
      <c r="B12" s="32" t="s">
        <v>403</v>
      </c>
      <c r="C12" s="32"/>
      <c r="D12" s="32"/>
      <c r="E12" s="32"/>
      <c r="F12" s="109"/>
    </row>
    <row r="13" spans="1:6">
      <c r="A13" s="108">
        <v>7</v>
      </c>
      <c r="B13" s="32" t="s">
        <v>404</v>
      </c>
      <c r="C13" s="32"/>
      <c r="D13" s="32"/>
      <c r="E13" s="32"/>
      <c r="F13" s="109"/>
    </row>
    <row r="14" spans="1:6" ht="28.8">
      <c r="A14" s="108">
        <v>8</v>
      </c>
      <c r="B14" s="32" t="s">
        <v>405</v>
      </c>
      <c r="C14" s="32"/>
      <c r="D14" s="32"/>
      <c r="E14" s="32"/>
      <c r="F14" s="109"/>
    </row>
    <row r="15" spans="1:6" ht="43.2">
      <c r="A15" s="108">
        <v>9</v>
      </c>
      <c r="B15" s="32" t="s">
        <v>406</v>
      </c>
      <c r="C15" s="32"/>
      <c r="D15" s="32"/>
      <c r="E15" s="32"/>
      <c r="F15" s="109"/>
    </row>
    <row r="16" spans="1:6" ht="28.8">
      <c r="A16" s="112">
        <v>10</v>
      </c>
      <c r="B16" s="113" t="s">
        <v>407</v>
      </c>
      <c r="C16" s="113"/>
      <c r="D16" s="113"/>
      <c r="E16" s="113"/>
      <c r="F16" s="11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1"/>
  <sheetViews>
    <sheetView workbookViewId="0">
      <selection activeCell="A15" sqref="A15"/>
    </sheetView>
  </sheetViews>
  <sheetFormatPr defaultColWidth="8.88671875" defaultRowHeight="14.4"/>
  <cols>
    <col min="1" max="11" width="8.88671875" style="89"/>
    <col min="12" max="12" width="17.88671875" style="89" customWidth="1"/>
    <col min="13" max="16384" width="8.88671875" style="89"/>
  </cols>
  <sheetData>
    <row r="1" spans="1:12" ht="28.8">
      <c r="A1" s="32">
        <v>1</v>
      </c>
      <c r="B1" s="413" t="s">
        <v>408</v>
      </c>
      <c r="C1" s="413"/>
      <c r="D1" s="413"/>
      <c r="E1" s="413"/>
      <c r="F1" s="413" t="s">
        <v>409</v>
      </c>
      <c r="G1" s="413"/>
      <c r="H1" s="413"/>
      <c r="I1" s="413" t="s">
        <v>410</v>
      </c>
      <c r="J1" s="413"/>
      <c r="K1" s="413"/>
      <c r="L1" s="96" t="s">
        <v>411</v>
      </c>
    </row>
    <row r="2" spans="1:12">
      <c r="A2" s="32">
        <v>2</v>
      </c>
      <c r="B2" s="414">
        <v>0.4</v>
      </c>
      <c r="C2" s="414"/>
      <c r="D2" s="414"/>
      <c r="E2" s="414"/>
      <c r="F2" s="414">
        <v>0.2</v>
      </c>
      <c r="G2" s="414"/>
      <c r="H2" s="414"/>
      <c r="I2" s="414">
        <v>0.3</v>
      </c>
      <c r="J2" s="414"/>
      <c r="K2" s="414"/>
      <c r="L2" s="32">
        <v>0.1</v>
      </c>
    </row>
    <row r="3" spans="1:12" ht="57" customHeight="1">
      <c r="A3" s="32">
        <v>3</v>
      </c>
      <c r="B3" s="413" t="s">
        <v>412</v>
      </c>
      <c r="C3" s="413"/>
      <c r="D3" s="413" t="s">
        <v>413</v>
      </c>
      <c r="E3" s="414"/>
      <c r="F3" s="414"/>
      <c r="G3" s="414"/>
      <c r="H3" s="414"/>
      <c r="I3" s="414"/>
      <c r="J3" s="414"/>
      <c r="K3" s="414"/>
      <c r="L3" s="32"/>
    </row>
    <row r="4" spans="1:12">
      <c r="A4" s="32">
        <v>4</v>
      </c>
      <c r="B4" s="414">
        <v>0.3</v>
      </c>
      <c r="C4" s="414"/>
      <c r="D4" s="414">
        <v>0.7</v>
      </c>
      <c r="E4" s="414"/>
      <c r="F4" s="414"/>
      <c r="G4" s="414"/>
      <c r="H4" s="414"/>
      <c r="I4" s="414"/>
      <c r="J4" s="414"/>
      <c r="K4" s="414"/>
      <c r="L4" s="32"/>
    </row>
    <row r="5" spans="1:12" ht="115.2">
      <c r="A5" s="32">
        <v>5</v>
      </c>
      <c r="B5" s="90" t="s">
        <v>414</v>
      </c>
      <c r="C5" s="90" t="s">
        <v>403</v>
      </c>
      <c r="D5" s="91" t="s">
        <v>366</v>
      </c>
      <c r="E5" s="91" t="s">
        <v>405</v>
      </c>
      <c r="F5" s="92" t="s">
        <v>388</v>
      </c>
      <c r="G5" s="92" t="s">
        <v>401</v>
      </c>
      <c r="H5" s="92" t="s">
        <v>406</v>
      </c>
      <c r="I5" s="97" t="s">
        <v>379</v>
      </c>
      <c r="J5" s="97" t="s">
        <v>402</v>
      </c>
      <c r="K5" s="97" t="s">
        <v>404</v>
      </c>
      <c r="L5" s="98" t="s">
        <v>407</v>
      </c>
    </row>
    <row r="6" spans="1:12">
      <c r="A6" s="32">
        <v>6</v>
      </c>
      <c r="B6" s="93">
        <v>0.4</v>
      </c>
      <c r="C6" s="93">
        <v>0.6</v>
      </c>
      <c r="D6" s="32"/>
      <c r="E6" s="32"/>
      <c r="F6" s="32"/>
      <c r="G6" s="32"/>
      <c r="H6" s="32"/>
      <c r="I6" s="32"/>
      <c r="J6" s="32"/>
      <c r="K6" s="32"/>
      <c r="L6" s="32"/>
    </row>
    <row r="7" spans="1:12">
      <c r="A7" s="32">
        <v>7</v>
      </c>
      <c r="B7" s="32"/>
      <c r="C7" s="32"/>
      <c r="D7" s="94">
        <v>0.65</v>
      </c>
      <c r="E7" s="94">
        <v>0.35</v>
      </c>
      <c r="F7" s="32"/>
      <c r="G7" s="32"/>
      <c r="H7" s="32"/>
      <c r="I7" s="32"/>
      <c r="J7" s="32"/>
      <c r="K7" s="32"/>
      <c r="L7" s="32"/>
    </row>
    <row r="8" spans="1:12">
      <c r="A8" s="32">
        <v>8</v>
      </c>
      <c r="B8" s="32"/>
      <c r="C8" s="32"/>
      <c r="D8" s="32"/>
      <c r="E8" s="32"/>
      <c r="F8" s="95">
        <v>0.35</v>
      </c>
      <c r="G8" s="95">
        <v>0.4</v>
      </c>
      <c r="H8" s="95">
        <v>0.25</v>
      </c>
      <c r="I8" s="32"/>
      <c r="J8" s="32"/>
      <c r="K8" s="32"/>
      <c r="L8" s="32"/>
    </row>
    <row r="9" spans="1:12">
      <c r="A9" s="32">
        <v>9</v>
      </c>
      <c r="B9" s="32"/>
      <c r="C9" s="32"/>
      <c r="D9" s="32"/>
      <c r="E9" s="32"/>
      <c r="F9" s="32"/>
      <c r="G9" s="32"/>
      <c r="H9" s="32"/>
      <c r="I9" s="99">
        <v>0.6</v>
      </c>
      <c r="J9" s="99">
        <v>0.3</v>
      </c>
      <c r="K9" s="99">
        <v>0.1</v>
      </c>
      <c r="L9" s="32"/>
    </row>
    <row r="10" spans="1:12">
      <c r="A10" s="32">
        <v>10</v>
      </c>
      <c r="B10" s="32"/>
      <c r="C10" s="32"/>
      <c r="D10" s="32"/>
      <c r="E10" s="32"/>
      <c r="F10" s="32"/>
      <c r="G10" s="32"/>
      <c r="H10" s="32"/>
      <c r="I10" s="32"/>
      <c r="J10" s="32"/>
      <c r="K10" s="32"/>
      <c r="L10" s="100">
        <v>1</v>
      </c>
    </row>
    <row r="11" spans="1:12">
      <c r="A11" s="32">
        <v>11</v>
      </c>
      <c r="B11" s="93">
        <f>B2*B4*B6</f>
        <v>4.8000000000000001E-2</v>
      </c>
      <c r="C11" s="93">
        <f>B2*B4*C6</f>
        <v>7.1999999999999995E-2</v>
      </c>
      <c r="D11" s="94">
        <f>B2*D4*D7</f>
        <v>0.182</v>
      </c>
      <c r="E11" s="94">
        <f>B2*D4*E7</f>
        <v>9.8000000000000004E-2</v>
      </c>
      <c r="F11" s="95">
        <f>F2*F8</f>
        <v>7.0000000000000007E-2</v>
      </c>
      <c r="G11" s="95">
        <f>F2*G8</f>
        <v>0.08</v>
      </c>
      <c r="H11" s="95">
        <f>F2*H8</f>
        <v>0.05</v>
      </c>
      <c r="I11" s="99">
        <f>I2*I9</f>
        <v>0.18</v>
      </c>
      <c r="J11" s="99">
        <f>I2*J9</f>
        <v>0.09</v>
      </c>
      <c r="K11" s="99">
        <f>I2*K9</f>
        <v>0.03</v>
      </c>
      <c r="L11" s="100">
        <f>L2*L10</f>
        <v>0.1</v>
      </c>
    </row>
  </sheetData>
  <mergeCells count="14">
    <mergeCell ref="B3:C3"/>
    <mergeCell ref="D3:E3"/>
    <mergeCell ref="F3:H3"/>
    <mergeCell ref="I3:K3"/>
    <mergeCell ref="B4:C4"/>
    <mergeCell ref="D4:E4"/>
    <mergeCell ref="F4:H4"/>
    <mergeCell ref="I4:K4"/>
    <mergeCell ref="B1:E1"/>
    <mergeCell ref="F1:H1"/>
    <mergeCell ref="I1:K1"/>
    <mergeCell ref="B2:E2"/>
    <mergeCell ref="F2:H2"/>
    <mergeCell ref="I2:K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57"/>
  <sheetViews>
    <sheetView topLeftCell="B1" zoomScale="55" zoomScaleNormal="55" workbookViewId="0">
      <selection activeCell="AL36" sqref="AL36"/>
    </sheetView>
  </sheetViews>
  <sheetFormatPr defaultColWidth="8.77734375" defaultRowHeight="15"/>
  <cols>
    <col min="1" max="1" width="8.77734375" style="1"/>
    <col min="2" max="2" width="84.33203125" style="1" customWidth="1"/>
    <col min="3" max="3" width="33" style="1" customWidth="1"/>
    <col min="4" max="4" width="13.109375" style="1" customWidth="1"/>
    <col min="5" max="18" width="4.6640625" style="1" customWidth="1"/>
    <col min="19" max="19" width="5.44140625" style="1" customWidth="1"/>
    <col min="20" max="20" width="4.6640625" style="1" customWidth="1"/>
    <col min="21" max="31" width="8.77734375" style="1"/>
    <col min="32" max="32" width="10.44140625" style="1" customWidth="1"/>
    <col min="33" max="37" width="8.77734375" style="1"/>
    <col min="38" max="38" width="95.44140625" style="1" customWidth="1"/>
    <col min="39" max="39" width="15.6640625" style="1"/>
    <col min="40" max="16384" width="8.77734375" style="1"/>
  </cols>
  <sheetData>
    <row r="1" spans="1:33" ht="15.6">
      <c r="B1" s="2" t="s">
        <v>415</v>
      </c>
    </row>
    <row r="2" spans="1:33" ht="15.6">
      <c r="A2" s="3" t="s">
        <v>244</v>
      </c>
      <c r="B2" s="415" t="s">
        <v>244</v>
      </c>
      <c r="C2" s="415"/>
      <c r="D2" s="4"/>
      <c r="E2" s="4"/>
      <c r="F2" s="4"/>
      <c r="G2" s="4"/>
      <c r="H2" s="4"/>
      <c r="I2" s="4"/>
      <c r="J2" s="4"/>
      <c r="K2" s="4"/>
      <c r="L2" s="4"/>
      <c r="M2" s="4"/>
      <c r="N2" s="4"/>
      <c r="O2" s="4"/>
      <c r="P2" s="4"/>
      <c r="Q2" s="4"/>
      <c r="R2" s="4"/>
      <c r="S2" s="4"/>
      <c r="T2" s="4"/>
      <c r="U2" s="4"/>
      <c r="V2" s="4"/>
      <c r="W2" s="4"/>
      <c r="X2" s="4"/>
      <c r="Y2" s="4"/>
      <c r="AG2" s="2"/>
    </row>
    <row r="3" spans="1:33" ht="15.6">
      <c r="B3" s="2" t="s">
        <v>416</v>
      </c>
      <c r="D3" s="4">
        <v>1</v>
      </c>
      <c r="E3" s="5" t="s">
        <v>417</v>
      </c>
      <c r="F3" s="6" t="s">
        <v>418</v>
      </c>
      <c r="G3" s="4"/>
      <c r="H3" s="4"/>
      <c r="I3" s="4"/>
      <c r="J3" s="4"/>
      <c r="K3" s="4"/>
      <c r="L3" s="4"/>
      <c r="M3" s="4"/>
      <c r="N3" s="4"/>
      <c r="O3" s="4"/>
      <c r="P3" s="4"/>
      <c r="Q3" s="4"/>
      <c r="R3" s="4"/>
      <c r="S3" s="4"/>
      <c r="T3" s="4"/>
      <c r="U3" s="4"/>
      <c r="V3" s="4"/>
      <c r="W3" s="4"/>
      <c r="X3" s="4"/>
      <c r="Y3" s="58"/>
      <c r="AF3" s="13"/>
    </row>
    <row r="4" spans="1:33">
      <c r="B4" s="415" t="s">
        <v>244</v>
      </c>
      <c r="C4" s="415"/>
      <c r="D4" s="4">
        <f t="shared" ref="D4:D18" si="0">D3+1</f>
        <v>2</v>
      </c>
      <c r="E4" s="7"/>
      <c r="F4" s="8" t="s">
        <v>417</v>
      </c>
      <c r="G4" s="6" t="s">
        <v>419</v>
      </c>
      <c r="H4" s="4"/>
      <c r="I4" s="4"/>
      <c r="J4" s="4"/>
      <c r="K4" s="4"/>
      <c r="L4" s="4"/>
      <c r="M4" s="4"/>
      <c r="N4" s="4"/>
      <c r="O4" s="4"/>
      <c r="P4" s="4"/>
      <c r="Q4" s="4"/>
      <c r="R4" s="4"/>
      <c r="S4" s="4"/>
      <c r="T4" s="4"/>
      <c r="U4" s="4"/>
      <c r="V4" s="4"/>
      <c r="W4" s="4"/>
      <c r="X4" s="4"/>
      <c r="Y4" s="58"/>
      <c r="AF4" s="13"/>
    </row>
    <row r="5" spans="1:33" ht="15.6">
      <c r="B5" s="2" t="s">
        <v>420</v>
      </c>
      <c r="D5" s="4">
        <f t="shared" si="0"/>
        <v>3</v>
      </c>
      <c r="E5" s="7"/>
      <c r="F5" s="9" t="s">
        <v>421</v>
      </c>
      <c r="G5" s="8" t="s">
        <v>417</v>
      </c>
      <c r="H5" s="6" t="s">
        <v>422</v>
      </c>
      <c r="I5" s="4"/>
      <c r="J5" s="4"/>
      <c r="K5" s="4"/>
      <c r="L5" s="4"/>
      <c r="M5" s="4"/>
      <c r="N5" s="4"/>
      <c r="O5" s="4"/>
      <c r="P5" s="4"/>
      <c r="Q5" s="4"/>
      <c r="R5" s="4"/>
      <c r="S5" s="4"/>
      <c r="T5" s="4"/>
      <c r="U5" s="4"/>
      <c r="V5" s="4"/>
      <c r="W5" s="4"/>
      <c r="X5" s="4"/>
      <c r="Y5" s="58"/>
      <c r="AF5" s="13"/>
    </row>
    <row r="6" spans="1:33">
      <c r="B6" s="10" t="s">
        <v>244</v>
      </c>
      <c r="D6" s="4">
        <f t="shared" si="0"/>
        <v>4</v>
      </c>
      <c r="E6" s="7"/>
      <c r="F6" s="11"/>
      <c r="G6" s="9"/>
      <c r="H6" s="8" t="s">
        <v>417</v>
      </c>
      <c r="I6" s="6" t="s">
        <v>423</v>
      </c>
      <c r="J6" s="4"/>
      <c r="K6" s="4"/>
      <c r="L6" s="4"/>
      <c r="M6" s="4"/>
      <c r="N6" s="4"/>
      <c r="O6" s="4"/>
      <c r="P6" s="4"/>
      <c r="Q6" s="4"/>
      <c r="R6" s="4"/>
      <c r="S6" s="4"/>
      <c r="T6" s="4"/>
      <c r="U6" s="4"/>
      <c r="V6" s="4"/>
      <c r="W6" s="4"/>
      <c r="X6" s="4"/>
      <c r="Y6" s="58"/>
      <c r="AF6" s="13"/>
    </row>
    <row r="7" spans="1:33" ht="15.6">
      <c r="B7" s="2"/>
      <c r="D7" s="4">
        <f t="shared" si="0"/>
        <v>5</v>
      </c>
      <c r="E7" s="7"/>
      <c r="F7" s="12" t="s">
        <v>421</v>
      </c>
      <c r="G7" s="4"/>
      <c r="H7" s="9"/>
      <c r="I7" s="8" t="s">
        <v>417</v>
      </c>
      <c r="J7" s="6" t="s">
        <v>424</v>
      </c>
      <c r="K7" s="4"/>
      <c r="L7" s="4"/>
      <c r="M7" s="4"/>
      <c r="N7" s="4"/>
      <c r="O7" s="4"/>
      <c r="P7" s="4"/>
      <c r="Q7" s="4"/>
      <c r="R7" s="4"/>
      <c r="S7" s="4"/>
      <c r="T7" s="4"/>
      <c r="U7" s="4"/>
      <c r="V7" s="4"/>
      <c r="W7" s="4"/>
      <c r="X7" s="4"/>
      <c r="Y7" s="58"/>
      <c r="AF7" s="13"/>
    </row>
    <row r="8" spans="1:33" ht="15.6">
      <c r="B8" s="2"/>
      <c r="D8" s="4">
        <f t="shared" si="0"/>
        <v>6</v>
      </c>
      <c r="E8" s="7" t="s">
        <v>421</v>
      </c>
      <c r="F8" s="12"/>
      <c r="G8" s="11" t="s">
        <v>421</v>
      </c>
      <c r="H8" s="11" t="s">
        <v>421</v>
      </c>
      <c r="I8" s="9"/>
      <c r="J8" s="50" t="s">
        <v>417</v>
      </c>
      <c r="K8" s="6" t="s">
        <v>425</v>
      </c>
      <c r="L8" s="4"/>
      <c r="M8" s="4"/>
      <c r="N8" s="4"/>
      <c r="O8" s="4"/>
      <c r="P8" s="4"/>
      <c r="Q8" s="4"/>
      <c r="R8" s="4"/>
      <c r="S8" s="4"/>
      <c r="T8" s="4"/>
      <c r="U8" s="4"/>
      <c r="V8" s="4"/>
      <c r="W8" s="4"/>
      <c r="X8" s="4"/>
      <c r="Y8" s="58"/>
      <c r="AF8" s="13"/>
    </row>
    <row r="9" spans="1:33" ht="15.6">
      <c r="B9" s="2"/>
      <c r="D9" s="4">
        <f t="shared" si="0"/>
        <v>7</v>
      </c>
      <c r="E9" s="7"/>
      <c r="F9" s="12"/>
      <c r="G9" s="12"/>
      <c r="H9" s="11" t="s">
        <v>426</v>
      </c>
      <c r="I9" s="9"/>
      <c r="J9" s="51"/>
      <c r="K9" s="8" t="s">
        <v>417</v>
      </c>
      <c r="L9" s="6" t="s">
        <v>427</v>
      </c>
      <c r="M9" s="4"/>
      <c r="N9" s="4"/>
      <c r="O9" s="4"/>
      <c r="P9" s="4"/>
      <c r="Q9" s="4"/>
      <c r="R9" s="4"/>
      <c r="S9" s="4"/>
      <c r="T9" s="4"/>
      <c r="U9" s="4"/>
      <c r="V9" s="4"/>
      <c r="W9" s="4"/>
      <c r="X9" s="4"/>
      <c r="Y9" s="58"/>
      <c r="AF9" s="13"/>
    </row>
    <row r="10" spans="1:33" ht="15.6">
      <c r="B10" s="2" t="s">
        <v>428</v>
      </c>
      <c r="D10" s="4">
        <f t="shared" si="0"/>
        <v>8</v>
      </c>
      <c r="E10" s="7"/>
      <c r="F10" s="12"/>
      <c r="G10" s="12"/>
      <c r="H10" s="11"/>
      <c r="I10" s="9"/>
      <c r="J10" s="51"/>
      <c r="K10" s="11"/>
      <c r="L10" s="8" t="s">
        <v>417</v>
      </c>
      <c r="M10" s="6" t="s">
        <v>429</v>
      </c>
      <c r="N10" s="4"/>
      <c r="O10" s="4"/>
      <c r="P10" s="4"/>
      <c r="Q10" s="4"/>
      <c r="R10" s="4"/>
      <c r="S10" s="4"/>
      <c r="T10" s="4"/>
      <c r="U10" s="4"/>
      <c r="V10" s="4"/>
      <c r="W10" s="4"/>
      <c r="X10" s="4"/>
      <c r="Y10" s="58"/>
      <c r="AF10" s="13"/>
    </row>
    <row r="11" spans="1:33">
      <c r="A11" s="13">
        <v>2</v>
      </c>
      <c r="B11" s="1" t="s">
        <v>430</v>
      </c>
      <c r="D11" s="4">
        <f t="shared" si="0"/>
        <v>9</v>
      </c>
      <c r="E11" s="7" t="s">
        <v>431</v>
      </c>
      <c r="F11" s="12"/>
      <c r="G11" s="12"/>
      <c r="H11" s="11"/>
      <c r="I11" s="9"/>
      <c r="J11" s="51" t="s">
        <v>432</v>
      </c>
      <c r="K11" s="11" t="s">
        <v>432</v>
      </c>
      <c r="L11" s="11"/>
      <c r="M11" s="8" t="s">
        <v>417</v>
      </c>
      <c r="N11" s="6" t="s">
        <v>433</v>
      </c>
      <c r="O11" s="4"/>
      <c r="P11" s="4"/>
      <c r="Q11" s="4"/>
      <c r="R11" s="4"/>
      <c r="S11" s="4"/>
      <c r="T11" s="4"/>
      <c r="U11" s="4"/>
      <c r="V11" s="4"/>
      <c r="W11" s="4"/>
      <c r="X11" s="4"/>
      <c r="Y11" s="58"/>
      <c r="AF11" s="13"/>
    </row>
    <row r="12" spans="1:33">
      <c r="A12" s="13">
        <v>1</v>
      </c>
      <c r="B12" s="1" t="s">
        <v>434</v>
      </c>
      <c r="D12" s="4">
        <f t="shared" si="0"/>
        <v>10</v>
      </c>
      <c r="E12" s="7"/>
      <c r="F12" s="12"/>
      <c r="G12" s="12"/>
      <c r="H12" s="11"/>
      <c r="I12" s="9" t="s">
        <v>435</v>
      </c>
      <c r="J12" s="51" t="s">
        <v>432</v>
      </c>
      <c r="K12" s="9" t="s">
        <v>435</v>
      </c>
      <c r="L12" s="9"/>
      <c r="M12" s="9"/>
      <c r="N12" s="50" t="s">
        <v>417</v>
      </c>
      <c r="O12" s="6" t="s">
        <v>436</v>
      </c>
      <c r="P12" s="4"/>
      <c r="Q12" s="4"/>
      <c r="R12" s="4"/>
      <c r="S12" s="4"/>
      <c r="T12" s="4"/>
      <c r="U12" s="4"/>
      <c r="V12" s="4"/>
      <c r="W12" s="4"/>
      <c r="X12" s="4"/>
      <c r="Y12" s="58"/>
      <c r="AF12" s="13"/>
    </row>
    <row r="13" spans="1:33" ht="15.6">
      <c r="A13" s="13"/>
      <c r="B13" s="1" t="s">
        <v>437</v>
      </c>
      <c r="D13" s="4">
        <f t="shared" si="0"/>
        <v>11</v>
      </c>
      <c r="E13" s="7"/>
      <c r="F13" s="12" t="s">
        <v>421</v>
      </c>
      <c r="G13" s="12"/>
      <c r="H13" s="11"/>
      <c r="I13" s="9"/>
      <c r="J13" s="11"/>
      <c r="K13" s="11"/>
      <c r="L13" s="11"/>
      <c r="M13" s="11"/>
      <c r="N13" s="11"/>
      <c r="O13" s="52" t="s">
        <v>438</v>
      </c>
      <c r="P13" s="6" t="s">
        <v>439</v>
      </c>
      <c r="Q13" s="4"/>
      <c r="R13" s="4"/>
      <c r="S13" s="4"/>
      <c r="T13" s="4"/>
      <c r="U13" s="4"/>
      <c r="V13" s="4"/>
      <c r="W13" s="4"/>
      <c r="X13" s="4"/>
      <c r="Y13" s="58"/>
      <c r="AF13" s="13"/>
    </row>
    <row r="14" spans="1:33">
      <c r="A14" s="13">
        <v>-1</v>
      </c>
      <c r="B14" s="1" t="s">
        <v>440</v>
      </c>
      <c r="D14" s="4">
        <f t="shared" si="0"/>
        <v>12</v>
      </c>
      <c r="E14" s="7" t="s">
        <v>426</v>
      </c>
      <c r="F14" s="12"/>
      <c r="G14" s="12"/>
      <c r="H14" s="11"/>
      <c r="I14" s="9"/>
      <c r="J14" s="12"/>
      <c r="K14" s="12"/>
      <c r="L14" s="12"/>
      <c r="M14" s="12"/>
      <c r="N14" s="53"/>
      <c r="O14" s="11"/>
      <c r="P14" s="54" t="s">
        <v>417</v>
      </c>
      <c r="Q14" s="6" t="s">
        <v>441</v>
      </c>
      <c r="R14" s="4"/>
      <c r="S14" s="4"/>
      <c r="T14" s="4"/>
      <c r="U14" s="4"/>
      <c r="V14" s="4"/>
      <c r="W14" s="4"/>
      <c r="X14" s="4"/>
      <c r="Y14" s="58"/>
      <c r="AF14" s="13"/>
    </row>
    <row r="15" spans="1:33">
      <c r="A15" s="13">
        <v>-2</v>
      </c>
      <c r="B15" s="1" t="s">
        <v>442</v>
      </c>
      <c r="D15" s="4">
        <f t="shared" si="0"/>
        <v>13</v>
      </c>
      <c r="E15" s="7"/>
      <c r="F15" s="12"/>
      <c r="G15" s="12"/>
      <c r="H15" s="11"/>
      <c r="I15" s="9"/>
      <c r="J15" s="12"/>
      <c r="K15" s="12"/>
      <c r="L15" s="12" t="s">
        <v>432</v>
      </c>
      <c r="M15" s="12"/>
      <c r="N15" s="12"/>
      <c r="O15" s="55"/>
      <c r="P15" s="11"/>
      <c r="Q15" s="8" t="s">
        <v>417</v>
      </c>
      <c r="R15" s="6" t="s">
        <v>443</v>
      </c>
      <c r="S15" s="4"/>
      <c r="T15" s="4"/>
      <c r="U15" s="4"/>
      <c r="V15" s="4"/>
      <c r="W15" s="4"/>
      <c r="X15" s="4"/>
      <c r="Y15" s="58"/>
      <c r="AF15" s="13"/>
    </row>
    <row r="16" spans="1:33" ht="15.6">
      <c r="B16" s="2"/>
      <c r="D16" s="4">
        <f t="shared" si="0"/>
        <v>14</v>
      </c>
      <c r="E16" s="7"/>
      <c r="F16" s="12"/>
      <c r="G16" s="12"/>
      <c r="H16" s="12"/>
      <c r="I16" s="11"/>
      <c r="J16" s="11"/>
      <c r="K16" s="11"/>
      <c r="L16" s="12" t="s">
        <v>432</v>
      </c>
      <c r="M16" s="11"/>
      <c r="N16" s="11"/>
      <c r="O16" s="51"/>
      <c r="P16" s="11"/>
      <c r="Q16" s="11"/>
      <c r="R16" s="8" t="s">
        <v>417</v>
      </c>
      <c r="S16" s="6" t="s">
        <v>444</v>
      </c>
      <c r="T16" s="4"/>
      <c r="U16" s="4"/>
      <c r="V16" s="4"/>
      <c r="W16" s="4"/>
      <c r="X16" s="4"/>
      <c r="Y16" s="58"/>
      <c r="AF16" s="13"/>
    </row>
    <row r="17" spans="1:39" ht="15.6">
      <c r="B17" s="2"/>
      <c r="D17" s="4">
        <f t="shared" si="0"/>
        <v>15</v>
      </c>
      <c r="E17" s="7"/>
      <c r="F17" s="12"/>
      <c r="G17" s="12"/>
      <c r="H17" s="12"/>
      <c r="I17" s="12"/>
      <c r="J17" s="12"/>
      <c r="K17" s="12"/>
      <c r="L17" s="12" t="s">
        <v>432</v>
      </c>
      <c r="M17" s="12" t="s">
        <v>432</v>
      </c>
      <c r="N17" s="12"/>
      <c r="O17" s="56"/>
      <c r="P17" s="9"/>
      <c r="Q17" s="9"/>
      <c r="R17" s="9"/>
      <c r="S17" s="50" t="s">
        <v>417</v>
      </c>
      <c r="T17" s="6" t="s">
        <v>445</v>
      </c>
      <c r="U17" s="4"/>
      <c r="V17" s="4"/>
      <c r="W17" s="4"/>
      <c r="X17" s="4"/>
      <c r="Y17" s="58"/>
      <c r="AF17" s="13"/>
    </row>
    <row r="18" spans="1:39" ht="15.6">
      <c r="B18" s="2"/>
      <c r="C18" s="14" t="s">
        <v>446</v>
      </c>
      <c r="D18" s="4">
        <f t="shared" si="0"/>
        <v>16</v>
      </c>
      <c r="E18" s="7"/>
      <c r="F18" s="15"/>
      <c r="G18" s="12"/>
      <c r="H18" s="12"/>
      <c r="I18" s="12" t="s">
        <v>435</v>
      </c>
      <c r="J18" s="12"/>
      <c r="K18" s="12" t="s">
        <v>432</v>
      </c>
      <c r="L18" s="12"/>
      <c r="M18" s="12"/>
      <c r="N18" s="12"/>
      <c r="O18" s="11"/>
      <c r="P18" s="11" t="s">
        <v>432</v>
      </c>
      <c r="Q18" s="11"/>
      <c r="R18" s="11"/>
      <c r="S18" s="11"/>
      <c r="T18" s="8" t="s">
        <v>417</v>
      </c>
      <c r="U18" s="58" t="s">
        <v>447</v>
      </c>
      <c r="V18" s="4"/>
      <c r="W18" s="4"/>
      <c r="X18" s="4"/>
      <c r="Y18" s="4"/>
      <c r="AF18" s="13"/>
    </row>
    <row r="19" spans="1:39" ht="15" customHeight="1">
      <c r="D19" s="16" t="s">
        <v>448</v>
      </c>
      <c r="E19" s="17">
        <v>1</v>
      </c>
      <c r="F19" s="18">
        <f t="shared" ref="F19:T19" si="1">E19+1</f>
        <v>2</v>
      </c>
      <c r="G19" s="18">
        <f t="shared" si="1"/>
        <v>3</v>
      </c>
      <c r="H19" s="18">
        <f t="shared" si="1"/>
        <v>4</v>
      </c>
      <c r="I19" s="18">
        <f t="shared" si="1"/>
        <v>5</v>
      </c>
      <c r="J19" s="18">
        <f t="shared" si="1"/>
        <v>6</v>
      </c>
      <c r="K19" s="18">
        <f t="shared" si="1"/>
        <v>7</v>
      </c>
      <c r="L19" s="18">
        <f t="shared" si="1"/>
        <v>8</v>
      </c>
      <c r="M19" s="18">
        <f t="shared" si="1"/>
        <v>9</v>
      </c>
      <c r="N19" s="18">
        <f t="shared" si="1"/>
        <v>10</v>
      </c>
      <c r="O19" s="18">
        <f t="shared" si="1"/>
        <v>11</v>
      </c>
      <c r="P19" s="18">
        <f t="shared" si="1"/>
        <v>12</v>
      </c>
      <c r="Q19" s="18">
        <f t="shared" si="1"/>
        <v>13</v>
      </c>
      <c r="R19" s="18">
        <f t="shared" si="1"/>
        <v>14</v>
      </c>
      <c r="S19" s="18">
        <f t="shared" si="1"/>
        <v>15</v>
      </c>
      <c r="T19" s="18">
        <f t="shared" si="1"/>
        <v>16</v>
      </c>
      <c r="U19" s="416" t="s">
        <v>449</v>
      </c>
      <c r="V19" s="417"/>
      <c r="W19" s="417"/>
      <c r="X19" s="418"/>
    </row>
    <row r="20" spans="1:39" ht="235.05" customHeight="1">
      <c r="D20" s="19" t="s">
        <v>450</v>
      </c>
      <c r="E20" s="20" t="s">
        <v>418</v>
      </c>
      <c r="F20" s="21" t="s">
        <v>419</v>
      </c>
      <c r="G20" s="21" t="s">
        <v>422</v>
      </c>
      <c r="H20" s="21" t="s">
        <v>451</v>
      </c>
      <c r="I20" s="21" t="s">
        <v>424</v>
      </c>
      <c r="J20" s="21" t="s">
        <v>425</v>
      </c>
      <c r="K20" s="21" t="s">
        <v>427</v>
      </c>
      <c r="L20" s="21" t="s">
        <v>429</v>
      </c>
      <c r="M20" s="21" t="s">
        <v>433</v>
      </c>
      <c r="N20" s="21" t="s">
        <v>436</v>
      </c>
      <c r="O20" s="21" t="s">
        <v>439</v>
      </c>
      <c r="P20" s="21" t="s">
        <v>441</v>
      </c>
      <c r="Q20" s="21" t="s">
        <v>443</v>
      </c>
      <c r="R20" s="21" t="s">
        <v>444</v>
      </c>
      <c r="S20" s="21" t="s">
        <v>445</v>
      </c>
      <c r="T20" s="59" t="s">
        <v>447</v>
      </c>
      <c r="U20" s="419" t="s">
        <v>452</v>
      </c>
      <c r="V20" s="419"/>
      <c r="W20" s="419"/>
      <c r="X20" s="419"/>
      <c r="Y20" s="419"/>
      <c r="Z20" s="419"/>
      <c r="AA20" s="419"/>
      <c r="AB20" s="419"/>
      <c r="AC20" s="419"/>
      <c r="AD20" s="419"/>
      <c r="AE20" s="419"/>
    </row>
    <row r="21" spans="1:39" ht="15.75" customHeight="1">
      <c r="B21" s="22" t="s">
        <v>453</v>
      </c>
      <c r="C21" s="23" t="s">
        <v>454</v>
      </c>
      <c r="D21" s="24"/>
      <c r="E21" s="25" t="s">
        <v>417</v>
      </c>
      <c r="F21" s="26" t="s">
        <v>417</v>
      </c>
      <c r="G21" s="26" t="s">
        <v>417</v>
      </c>
      <c r="H21" s="26" t="s">
        <v>417</v>
      </c>
      <c r="I21" s="26" t="s">
        <v>417</v>
      </c>
      <c r="J21" s="26" t="s">
        <v>417</v>
      </c>
      <c r="K21" s="26" t="s">
        <v>417</v>
      </c>
      <c r="L21" s="26" t="s">
        <v>417</v>
      </c>
      <c r="M21" s="26" t="s">
        <v>417</v>
      </c>
      <c r="N21" s="26" t="s">
        <v>417</v>
      </c>
      <c r="O21" s="25" t="s">
        <v>438</v>
      </c>
      <c r="P21" s="26" t="s">
        <v>417</v>
      </c>
      <c r="Q21" s="26" t="s">
        <v>417</v>
      </c>
      <c r="R21" s="26" t="s">
        <v>417</v>
      </c>
      <c r="S21" s="26" t="s">
        <v>417</v>
      </c>
      <c r="T21" s="60" t="s">
        <v>417</v>
      </c>
      <c r="U21" s="420" t="s">
        <v>455</v>
      </c>
      <c r="V21" s="421"/>
      <c r="W21" s="421"/>
      <c r="X21" s="421"/>
      <c r="Y21" s="421"/>
      <c r="Z21" s="421"/>
      <c r="AA21" s="421"/>
      <c r="AB21" s="422"/>
      <c r="AC21" s="420" t="s">
        <v>456</v>
      </c>
      <c r="AD21" s="421"/>
      <c r="AE21" s="421"/>
      <c r="AF21" s="421"/>
      <c r="AG21" s="421"/>
      <c r="AH21" s="421"/>
      <c r="AI21" s="421"/>
      <c r="AJ21" s="422"/>
      <c r="AL21" s="83" t="s">
        <v>457</v>
      </c>
    </row>
    <row r="22" spans="1:39" ht="15.6">
      <c r="A22" s="16" t="s">
        <v>448</v>
      </c>
      <c r="B22" s="27" t="s">
        <v>458</v>
      </c>
      <c r="C22" s="28" t="s">
        <v>459</v>
      </c>
      <c r="D22" s="29">
        <f>SUM(D23:D36)</f>
        <v>100</v>
      </c>
      <c r="E22" s="30"/>
      <c r="F22" s="30"/>
      <c r="G22" s="30"/>
      <c r="H22" s="30"/>
      <c r="I22" s="30"/>
      <c r="J22" s="30"/>
      <c r="K22" s="30"/>
      <c r="L22" s="30"/>
      <c r="M22" s="30"/>
      <c r="N22" s="30"/>
      <c r="O22" s="30"/>
      <c r="P22" s="30"/>
      <c r="Q22" s="30"/>
      <c r="R22" s="30"/>
      <c r="S22" s="30"/>
      <c r="T22" s="30"/>
      <c r="U22" s="61" t="s">
        <v>460</v>
      </c>
      <c r="V22" s="62" t="s">
        <v>461</v>
      </c>
      <c r="W22" s="62" t="s">
        <v>462</v>
      </c>
      <c r="X22" s="62" t="s">
        <v>463</v>
      </c>
      <c r="Y22" s="62" t="s">
        <v>464</v>
      </c>
      <c r="Z22" s="62" t="s">
        <v>465</v>
      </c>
      <c r="AA22" s="62" t="s">
        <v>466</v>
      </c>
      <c r="AB22" s="73" t="s">
        <v>467</v>
      </c>
      <c r="AC22" s="61" t="s">
        <v>460</v>
      </c>
      <c r="AD22" s="62" t="s">
        <v>461</v>
      </c>
      <c r="AE22" s="62" t="s">
        <v>462</v>
      </c>
      <c r="AF22" s="62" t="s">
        <v>463</v>
      </c>
      <c r="AG22" s="62" t="s">
        <v>464</v>
      </c>
      <c r="AH22" s="46" t="s">
        <v>465</v>
      </c>
      <c r="AI22" s="46" t="s">
        <v>466</v>
      </c>
      <c r="AJ22" s="69" t="s">
        <v>467</v>
      </c>
      <c r="AL22" s="84"/>
    </row>
    <row r="23" spans="1:39" ht="15.6">
      <c r="A23" s="1">
        <v>1</v>
      </c>
      <c r="B23" s="581" t="s">
        <v>901</v>
      </c>
      <c r="C23" s="32" t="s">
        <v>468</v>
      </c>
      <c r="D23" s="33">
        <v>10.6382978723404</v>
      </c>
      <c r="E23" s="34">
        <v>2</v>
      </c>
      <c r="F23" s="35"/>
      <c r="G23" s="35"/>
      <c r="H23" s="35"/>
      <c r="I23" s="35"/>
      <c r="J23" s="35"/>
      <c r="K23" s="35"/>
      <c r="L23" s="35">
        <v>2</v>
      </c>
      <c r="M23" s="35">
        <v>1</v>
      </c>
      <c r="N23" s="35"/>
      <c r="O23" s="35"/>
      <c r="P23" s="35">
        <v>2</v>
      </c>
      <c r="Q23" s="35">
        <v>2</v>
      </c>
      <c r="R23" s="35">
        <v>2</v>
      </c>
      <c r="S23" s="35">
        <v>2</v>
      </c>
      <c r="T23" s="63"/>
      <c r="U23" s="61">
        <v>2</v>
      </c>
      <c r="V23" s="62">
        <v>5</v>
      </c>
      <c r="W23" s="62">
        <v>5</v>
      </c>
      <c r="X23" s="62">
        <v>0</v>
      </c>
      <c r="Y23" s="62">
        <v>5</v>
      </c>
      <c r="Z23" s="74">
        <v>5</v>
      </c>
      <c r="AA23" s="74">
        <v>5</v>
      </c>
      <c r="AB23" s="75">
        <v>1</v>
      </c>
      <c r="AC23" s="76">
        <f t="shared" ref="AC23:AC36" si="2">U23*$D23</f>
        <v>21.276595744680801</v>
      </c>
      <c r="AD23" s="74">
        <f t="shared" ref="AD23:AD36" si="3">V23*$D23</f>
        <v>53.191489361701997</v>
      </c>
      <c r="AE23" s="77">
        <f t="shared" ref="AE23:AE36" si="4">W23*$D23</f>
        <v>53.191489361701997</v>
      </c>
      <c r="AF23" s="74">
        <f t="shared" ref="AF23:AF36" si="5">X23*$D23</f>
        <v>0</v>
      </c>
      <c r="AG23" s="74">
        <f t="shared" ref="AG23:AG36" si="6">Y23*$D23</f>
        <v>53.191489361701997</v>
      </c>
      <c r="AH23" s="74">
        <f t="shared" ref="AH23:AH36" si="7">Z23*$D23</f>
        <v>53.191489361701997</v>
      </c>
      <c r="AI23" s="74">
        <f t="shared" ref="AI23:AI36" si="8">AA23*$D23</f>
        <v>53.191489361701997</v>
      </c>
      <c r="AJ23" s="75">
        <f t="shared" ref="AJ23:AJ36" si="9">AB23*$D23</f>
        <v>10.6382978723404</v>
      </c>
      <c r="AK23" s="85"/>
      <c r="AL23" s="84" t="s">
        <v>309</v>
      </c>
      <c r="AM23" s="86"/>
    </row>
    <row r="24" spans="1:39" ht="15.6">
      <c r="A24" s="1">
        <f t="shared" ref="A24:A36" si="10">A23+1</f>
        <v>2</v>
      </c>
      <c r="B24" s="31" t="s">
        <v>469</v>
      </c>
      <c r="C24" s="32" t="s">
        <v>470</v>
      </c>
      <c r="D24" s="36">
        <v>2.1276595744680802</v>
      </c>
      <c r="E24" s="37"/>
      <c r="F24" s="38"/>
      <c r="G24" s="38"/>
      <c r="H24" s="38"/>
      <c r="I24" s="38">
        <v>1</v>
      </c>
      <c r="J24" s="38">
        <v>1</v>
      </c>
      <c r="K24" s="38">
        <v>1</v>
      </c>
      <c r="L24" s="38"/>
      <c r="M24" s="38"/>
      <c r="N24" s="38"/>
      <c r="O24" s="38"/>
      <c r="P24" s="38"/>
      <c r="Q24" s="38"/>
      <c r="R24" s="38"/>
      <c r="S24" s="38"/>
      <c r="T24" s="64">
        <v>2</v>
      </c>
      <c r="U24" s="61">
        <v>0</v>
      </c>
      <c r="V24" s="62">
        <v>5</v>
      </c>
      <c r="W24" s="62">
        <v>2</v>
      </c>
      <c r="X24" s="62">
        <v>4</v>
      </c>
      <c r="Y24" s="62">
        <v>2</v>
      </c>
      <c r="Z24" s="74">
        <v>2</v>
      </c>
      <c r="AA24" s="74">
        <v>2</v>
      </c>
      <c r="AB24" s="75">
        <v>0</v>
      </c>
      <c r="AC24" s="76">
        <f t="shared" si="2"/>
        <v>0</v>
      </c>
      <c r="AD24" s="74">
        <f t="shared" si="3"/>
        <v>10.6382978723404</v>
      </c>
      <c r="AE24" s="77">
        <f t="shared" si="4"/>
        <v>4.2553191489361604</v>
      </c>
      <c r="AF24" s="74">
        <f t="shared" si="5"/>
        <v>8.5106382978723207</v>
      </c>
      <c r="AG24" s="74">
        <f t="shared" si="6"/>
        <v>4.2553191489361604</v>
      </c>
      <c r="AH24" s="74">
        <f t="shared" si="7"/>
        <v>4.2553191489361604</v>
      </c>
      <c r="AI24" s="74">
        <f t="shared" si="8"/>
        <v>4.2553191489361604</v>
      </c>
      <c r="AJ24" s="75">
        <f t="shared" si="9"/>
        <v>0</v>
      </c>
      <c r="AK24" s="85"/>
      <c r="AL24" s="84" t="s">
        <v>471</v>
      </c>
      <c r="AM24" s="86"/>
    </row>
    <row r="25" spans="1:39" ht="15.6">
      <c r="A25" s="1">
        <f t="shared" si="10"/>
        <v>3</v>
      </c>
      <c r="B25" s="581" t="s">
        <v>902</v>
      </c>
      <c r="C25" s="32" t="s">
        <v>472</v>
      </c>
      <c r="D25" s="36">
        <v>10.6382978723404</v>
      </c>
      <c r="E25" s="37">
        <v>1</v>
      </c>
      <c r="F25" s="38"/>
      <c r="G25" s="38"/>
      <c r="H25" s="38"/>
      <c r="I25" s="38"/>
      <c r="J25" s="38"/>
      <c r="K25" s="38"/>
      <c r="L25" s="38"/>
      <c r="M25" s="38">
        <v>1</v>
      </c>
      <c r="N25" s="38"/>
      <c r="O25" s="38"/>
      <c r="P25" s="38"/>
      <c r="Q25" s="38"/>
      <c r="R25" s="38"/>
      <c r="S25" s="38"/>
      <c r="T25" s="64"/>
      <c r="U25" s="61">
        <v>1</v>
      </c>
      <c r="V25" s="62">
        <v>4</v>
      </c>
      <c r="W25" s="62">
        <v>5</v>
      </c>
      <c r="X25" s="62">
        <v>5</v>
      </c>
      <c r="Y25" s="62">
        <v>3</v>
      </c>
      <c r="Z25" s="74">
        <v>3</v>
      </c>
      <c r="AA25" s="74">
        <v>3</v>
      </c>
      <c r="AB25" s="75">
        <v>0</v>
      </c>
      <c r="AC25" s="76">
        <f t="shared" si="2"/>
        <v>10.6382978723404</v>
      </c>
      <c r="AD25" s="74">
        <f t="shared" si="3"/>
        <v>42.553191489361602</v>
      </c>
      <c r="AE25" s="77">
        <f t="shared" si="4"/>
        <v>53.191489361701997</v>
      </c>
      <c r="AF25" s="74">
        <f t="shared" si="5"/>
        <v>53.191489361701997</v>
      </c>
      <c r="AG25" s="74">
        <f t="shared" si="6"/>
        <v>31.9148936170212</v>
      </c>
      <c r="AH25" s="74">
        <f t="shared" si="7"/>
        <v>31.9148936170212</v>
      </c>
      <c r="AI25" s="74">
        <f t="shared" si="8"/>
        <v>31.9148936170212</v>
      </c>
      <c r="AJ25" s="75">
        <f t="shared" si="9"/>
        <v>0</v>
      </c>
      <c r="AK25" s="85"/>
      <c r="AL25" s="84" t="s">
        <v>309</v>
      </c>
      <c r="AM25" s="86"/>
    </row>
    <row r="26" spans="1:39" ht="15.6">
      <c r="A26" s="1">
        <f t="shared" si="10"/>
        <v>4</v>
      </c>
      <c r="B26" s="31" t="s">
        <v>473</v>
      </c>
      <c r="C26" s="32" t="s">
        <v>474</v>
      </c>
      <c r="D26" s="36">
        <v>6.3829787234042596</v>
      </c>
      <c r="E26" s="37">
        <v>2</v>
      </c>
      <c r="F26" s="38"/>
      <c r="G26" s="38"/>
      <c r="H26" s="38">
        <v>2</v>
      </c>
      <c r="I26" s="38"/>
      <c r="J26" s="38"/>
      <c r="K26" s="38"/>
      <c r="L26" s="38"/>
      <c r="M26" s="38">
        <v>2</v>
      </c>
      <c r="N26" s="38"/>
      <c r="O26" s="38"/>
      <c r="P26" s="38"/>
      <c r="Q26" s="38"/>
      <c r="R26" s="38"/>
      <c r="S26" s="38"/>
      <c r="T26" s="64"/>
      <c r="U26" s="61">
        <v>0</v>
      </c>
      <c r="V26" s="62">
        <v>4</v>
      </c>
      <c r="W26" s="62">
        <v>4</v>
      </c>
      <c r="X26" s="62">
        <v>5</v>
      </c>
      <c r="Y26" s="62">
        <v>0</v>
      </c>
      <c r="Z26" s="74">
        <v>3</v>
      </c>
      <c r="AA26" s="74">
        <v>3</v>
      </c>
      <c r="AB26" s="75">
        <v>1</v>
      </c>
      <c r="AC26" s="76">
        <f t="shared" si="2"/>
        <v>0</v>
      </c>
      <c r="AD26" s="74">
        <f t="shared" si="3"/>
        <v>25.531914893617</v>
      </c>
      <c r="AE26" s="77">
        <f t="shared" si="4"/>
        <v>25.531914893617</v>
      </c>
      <c r="AF26" s="74">
        <f t="shared" si="5"/>
        <v>31.914893617021299</v>
      </c>
      <c r="AG26" s="74">
        <f t="shared" si="6"/>
        <v>0</v>
      </c>
      <c r="AH26" s="74">
        <f t="shared" si="7"/>
        <v>19.148936170212799</v>
      </c>
      <c r="AI26" s="74">
        <f t="shared" si="8"/>
        <v>19.148936170212799</v>
      </c>
      <c r="AJ26" s="75">
        <f t="shared" si="9"/>
        <v>6.3829787234042596</v>
      </c>
      <c r="AK26" s="85"/>
      <c r="AL26" s="84" t="s">
        <v>475</v>
      </c>
      <c r="AM26" s="86"/>
    </row>
    <row r="27" spans="1:39" ht="15.6">
      <c r="A27" s="1">
        <f t="shared" si="10"/>
        <v>5</v>
      </c>
      <c r="B27" s="581" t="s">
        <v>903</v>
      </c>
      <c r="C27" s="32" t="s">
        <v>476</v>
      </c>
      <c r="D27" s="36">
        <v>8.5106382978723403</v>
      </c>
      <c r="E27" s="37"/>
      <c r="F27" s="38"/>
      <c r="G27" s="38"/>
      <c r="H27" s="38"/>
      <c r="I27" s="38">
        <v>1</v>
      </c>
      <c r="J27" s="38"/>
      <c r="K27" s="38"/>
      <c r="L27" s="38">
        <v>2</v>
      </c>
      <c r="M27" s="38"/>
      <c r="N27" s="38"/>
      <c r="O27" s="38"/>
      <c r="P27" s="38"/>
      <c r="Q27" s="38">
        <v>2</v>
      </c>
      <c r="R27" s="38">
        <v>2</v>
      </c>
      <c r="S27" s="38">
        <v>2</v>
      </c>
      <c r="T27" s="64"/>
      <c r="U27" s="61">
        <v>0</v>
      </c>
      <c r="V27" s="62">
        <v>5</v>
      </c>
      <c r="W27" s="62">
        <v>4</v>
      </c>
      <c r="X27" s="62">
        <v>0</v>
      </c>
      <c r="Y27" s="62">
        <v>3</v>
      </c>
      <c r="Z27" s="74">
        <v>2</v>
      </c>
      <c r="AA27" s="74">
        <v>2</v>
      </c>
      <c r="AB27" s="75">
        <v>2</v>
      </c>
      <c r="AC27" s="76">
        <f t="shared" si="2"/>
        <v>0</v>
      </c>
      <c r="AD27" s="74">
        <f t="shared" si="3"/>
        <v>42.553191489361701</v>
      </c>
      <c r="AE27" s="77">
        <f t="shared" si="4"/>
        <v>34.042553191489397</v>
      </c>
      <c r="AF27" s="74">
        <f t="shared" si="5"/>
        <v>0</v>
      </c>
      <c r="AG27" s="74">
        <f t="shared" si="6"/>
        <v>25.531914893617</v>
      </c>
      <c r="AH27" s="74">
        <f t="shared" si="7"/>
        <v>17.021276595744698</v>
      </c>
      <c r="AI27" s="74">
        <f t="shared" si="8"/>
        <v>17.021276595744698</v>
      </c>
      <c r="AJ27" s="75">
        <f t="shared" si="9"/>
        <v>17.021276595744698</v>
      </c>
      <c r="AK27" s="85"/>
      <c r="AL27" s="84" t="s">
        <v>471</v>
      </c>
      <c r="AM27" s="86"/>
    </row>
    <row r="28" spans="1:39" ht="15.6">
      <c r="A28" s="1">
        <f t="shared" si="10"/>
        <v>6</v>
      </c>
      <c r="B28" s="581" t="s">
        <v>904</v>
      </c>
      <c r="C28" s="32" t="s">
        <v>477</v>
      </c>
      <c r="D28" s="36">
        <v>10.6382978723404</v>
      </c>
      <c r="E28" s="37"/>
      <c r="F28" s="38"/>
      <c r="G28" s="38"/>
      <c r="H28" s="38"/>
      <c r="I28" s="38">
        <v>1</v>
      </c>
      <c r="J28" s="38"/>
      <c r="K28" s="38"/>
      <c r="L28" s="38"/>
      <c r="M28" s="38"/>
      <c r="N28" s="38"/>
      <c r="O28" s="38"/>
      <c r="P28" s="38"/>
      <c r="Q28" s="38">
        <v>2</v>
      </c>
      <c r="R28" s="38">
        <v>2</v>
      </c>
      <c r="S28" s="38">
        <v>2</v>
      </c>
      <c r="T28" s="64"/>
      <c r="U28" s="61">
        <v>1</v>
      </c>
      <c r="V28" s="62">
        <v>5</v>
      </c>
      <c r="W28" s="62">
        <v>5</v>
      </c>
      <c r="X28" s="62">
        <v>0</v>
      </c>
      <c r="Y28" s="62">
        <v>5</v>
      </c>
      <c r="Z28" s="74">
        <v>4</v>
      </c>
      <c r="AA28" s="74">
        <v>4</v>
      </c>
      <c r="AB28" s="75">
        <v>5</v>
      </c>
      <c r="AC28" s="76">
        <f t="shared" si="2"/>
        <v>10.6382978723404</v>
      </c>
      <c r="AD28" s="74">
        <f t="shared" si="3"/>
        <v>53.191489361701997</v>
      </c>
      <c r="AE28" s="77">
        <f t="shared" si="4"/>
        <v>53.191489361701997</v>
      </c>
      <c r="AF28" s="74">
        <f t="shared" si="5"/>
        <v>0</v>
      </c>
      <c r="AG28" s="74">
        <f t="shared" si="6"/>
        <v>53.191489361701997</v>
      </c>
      <c r="AH28" s="74">
        <f t="shared" si="7"/>
        <v>42.553191489361602</v>
      </c>
      <c r="AI28" s="74">
        <f t="shared" si="8"/>
        <v>42.553191489361602</v>
      </c>
      <c r="AJ28" s="75">
        <f t="shared" si="9"/>
        <v>53.191489361701997</v>
      </c>
      <c r="AK28" s="85"/>
      <c r="AL28" s="84" t="s">
        <v>471</v>
      </c>
      <c r="AM28" s="86"/>
    </row>
    <row r="29" spans="1:39" ht="15.6">
      <c r="A29" s="1">
        <f t="shared" si="10"/>
        <v>7</v>
      </c>
      <c r="B29" s="581" t="s">
        <v>905</v>
      </c>
      <c r="C29" s="32" t="s">
        <v>478</v>
      </c>
      <c r="D29" s="36">
        <v>6.3829787234042596</v>
      </c>
      <c r="E29" s="37"/>
      <c r="F29" s="38">
        <v>2</v>
      </c>
      <c r="G29" s="38">
        <v>2</v>
      </c>
      <c r="H29" s="38"/>
      <c r="I29" s="38">
        <v>2</v>
      </c>
      <c r="J29" s="38">
        <v>2</v>
      </c>
      <c r="K29" s="38">
        <v>1</v>
      </c>
      <c r="L29" s="38"/>
      <c r="M29" s="38"/>
      <c r="N29" s="38"/>
      <c r="O29" s="38">
        <v>2</v>
      </c>
      <c r="P29" s="38"/>
      <c r="Q29" s="38"/>
      <c r="R29" s="38"/>
      <c r="S29" s="38"/>
      <c r="T29" s="64"/>
      <c r="U29" s="61">
        <v>2</v>
      </c>
      <c r="V29" s="62">
        <v>5</v>
      </c>
      <c r="W29" s="62">
        <v>4</v>
      </c>
      <c r="X29" s="62">
        <v>5</v>
      </c>
      <c r="Y29" s="62">
        <v>4</v>
      </c>
      <c r="Z29" s="74">
        <v>3</v>
      </c>
      <c r="AA29" s="74">
        <v>3</v>
      </c>
      <c r="AB29" s="75">
        <v>0</v>
      </c>
      <c r="AC29" s="76">
        <f t="shared" si="2"/>
        <v>12.7659574468085</v>
      </c>
      <c r="AD29" s="74">
        <f t="shared" si="3"/>
        <v>31.914893617021299</v>
      </c>
      <c r="AE29" s="77">
        <f t="shared" si="4"/>
        <v>25.531914893617</v>
      </c>
      <c r="AF29" s="74">
        <f t="shared" si="5"/>
        <v>31.914893617021299</v>
      </c>
      <c r="AG29" s="74">
        <f t="shared" si="6"/>
        <v>25.531914893617</v>
      </c>
      <c r="AH29" s="74">
        <f t="shared" si="7"/>
        <v>19.148936170212799</v>
      </c>
      <c r="AI29" s="74">
        <f t="shared" si="8"/>
        <v>19.148936170212799</v>
      </c>
      <c r="AJ29" s="75">
        <f t="shared" si="9"/>
        <v>0</v>
      </c>
      <c r="AK29" s="85"/>
      <c r="AL29" s="84" t="s">
        <v>309</v>
      </c>
      <c r="AM29" s="86"/>
    </row>
    <row r="30" spans="1:39" ht="15.6">
      <c r="A30" s="1">
        <f t="shared" si="10"/>
        <v>8</v>
      </c>
      <c r="B30" s="581" t="s">
        <v>906</v>
      </c>
      <c r="C30" s="32" t="s">
        <v>479</v>
      </c>
      <c r="D30" s="36">
        <v>6.3829787234042596</v>
      </c>
      <c r="E30" s="37"/>
      <c r="F30" s="38">
        <v>1</v>
      </c>
      <c r="G30" s="38"/>
      <c r="H30" s="38"/>
      <c r="I30" s="38"/>
      <c r="J30" s="38"/>
      <c r="K30" s="38"/>
      <c r="L30" s="38"/>
      <c r="M30" s="38"/>
      <c r="N30" s="38">
        <v>2</v>
      </c>
      <c r="O30" s="38"/>
      <c r="P30" s="38"/>
      <c r="Q30" s="38"/>
      <c r="R30" s="38"/>
      <c r="S30" s="38"/>
      <c r="T30" s="64"/>
      <c r="U30" s="61">
        <v>2</v>
      </c>
      <c r="V30" s="62">
        <v>5</v>
      </c>
      <c r="W30" s="62">
        <v>3</v>
      </c>
      <c r="X30" s="62">
        <v>5</v>
      </c>
      <c r="Y30" s="62">
        <v>1</v>
      </c>
      <c r="Z30" s="74">
        <v>3</v>
      </c>
      <c r="AA30" s="74">
        <v>3</v>
      </c>
      <c r="AB30" s="75">
        <v>3</v>
      </c>
      <c r="AC30" s="76">
        <f t="shared" si="2"/>
        <v>12.7659574468085</v>
      </c>
      <c r="AD30" s="74">
        <f t="shared" si="3"/>
        <v>31.914893617021299</v>
      </c>
      <c r="AE30" s="77">
        <f t="shared" si="4"/>
        <v>19.148936170212799</v>
      </c>
      <c r="AF30" s="74">
        <f t="shared" si="5"/>
        <v>31.914893617021299</v>
      </c>
      <c r="AG30" s="74">
        <f t="shared" si="6"/>
        <v>6.3829787234042596</v>
      </c>
      <c r="AH30" s="74">
        <f t="shared" si="7"/>
        <v>19.148936170212799</v>
      </c>
      <c r="AI30" s="74">
        <f t="shared" si="8"/>
        <v>19.148936170212799</v>
      </c>
      <c r="AJ30" s="75">
        <f t="shared" si="9"/>
        <v>19.148936170212799</v>
      </c>
      <c r="AK30" s="85"/>
      <c r="AL30" s="84" t="s">
        <v>314</v>
      </c>
      <c r="AM30" s="86"/>
    </row>
    <row r="31" spans="1:39" ht="15.6">
      <c r="A31" s="1">
        <f t="shared" si="10"/>
        <v>9</v>
      </c>
      <c r="B31" s="31" t="s">
        <v>480</v>
      </c>
      <c r="C31" s="32" t="s">
        <v>481</v>
      </c>
      <c r="D31" s="36">
        <v>4.2553191489361701</v>
      </c>
      <c r="E31" s="37"/>
      <c r="F31" s="38"/>
      <c r="G31" s="38"/>
      <c r="H31" s="38"/>
      <c r="I31" s="38"/>
      <c r="J31" s="38">
        <v>1</v>
      </c>
      <c r="K31" s="38"/>
      <c r="L31" s="38"/>
      <c r="M31" s="38"/>
      <c r="N31" s="38"/>
      <c r="O31" s="38"/>
      <c r="P31" s="38"/>
      <c r="Q31" s="38"/>
      <c r="R31" s="38"/>
      <c r="S31" s="38"/>
      <c r="T31" s="64"/>
      <c r="U31" s="61">
        <v>1</v>
      </c>
      <c r="V31" s="62">
        <v>4</v>
      </c>
      <c r="W31" s="62">
        <v>2</v>
      </c>
      <c r="X31" s="62">
        <v>4</v>
      </c>
      <c r="Y31" s="62">
        <v>2</v>
      </c>
      <c r="Z31" s="74">
        <v>2</v>
      </c>
      <c r="AA31" s="74">
        <v>4</v>
      </c>
      <c r="AB31" s="75">
        <v>0</v>
      </c>
      <c r="AC31" s="76">
        <f t="shared" si="2"/>
        <v>4.2553191489361701</v>
      </c>
      <c r="AD31" s="74">
        <f t="shared" si="3"/>
        <v>17.021276595744698</v>
      </c>
      <c r="AE31" s="77">
        <f t="shared" si="4"/>
        <v>8.5106382978723403</v>
      </c>
      <c r="AF31" s="74">
        <f t="shared" si="5"/>
        <v>17.021276595744698</v>
      </c>
      <c r="AG31" s="74">
        <f t="shared" si="6"/>
        <v>8.5106382978723403</v>
      </c>
      <c r="AH31" s="74">
        <f t="shared" si="7"/>
        <v>8.5106382978723403</v>
      </c>
      <c r="AI31" s="74">
        <f t="shared" si="8"/>
        <v>17.021276595744698</v>
      </c>
      <c r="AJ31" s="75">
        <f t="shared" si="9"/>
        <v>0</v>
      </c>
      <c r="AK31" s="85"/>
      <c r="AL31" s="84" t="s">
        <v>334</v>
      </c>
      <c r="AM31" s="86"/>
    </row>
    <row r="32" spans="1:39" ht="15.6">
      <c r="A32" s="1">
        <f t="shared" si="10"/>
        <v>10</v>
      </c>
      <c r="B32" s="581" t="s">
        <v>907</v>
      </c>
      <c r="C32" s="32" t="s">
        <v>482</v>
      </c>
      <c r="D32" s="36">
        <v>6.3829787234042596</v>
      </c>
      <c r="E32" s="37"/>
      <c r="F32" s="38"/>
      <c r="G32" s="38"/>
      <c r="H32" s="38"/>
      <c r="I32" s="38"/>
      <c r="J32" s="38"/>
      <c r="K32" s="38"/>
      <c r="L32" s="38"/>
      <c r="M32" s="38"/>
      <c r="N32" s="38"/>
      <c r="O32" s="38"/>
      <c r="P32" s="38"/>
      <c r="Q32" s="38"/>
      <c r="R32" s="38"/>
      <c r="S32" s="38"/>
      <c r="T32" s="64"/>
      <c r="U32" s="61">
        <v>1</v>
      </c>
      <c r="V32" s="62">
        <v>5</v>
      </c>
      <c r="W32" s="62">
        <v>2</v>
      </c>
      <c r="X32" s="62">
        <v>4</v>
      </c>
      <c r="Y32" s="62">
        <v>3</v>
      </c>
      <c r="Z32" s="74">
        <v>3</v>
      </c>
      <c r="AA32" s="74">
        <v>3</v>
      </c>
      <c r="AB32" s="75">
        <v>5</v>
      </c>
      <c r="AC32" s="76">
        <f t="shared" si="2"/>
        <v>6.3829787234042596</v>
      </c>
      <c r="AD32" s="74">
        <f t="shared" si="3"/>
        <v>31.914893617021299</v>
      </c>
      <c r="AE32" s="77">
        <f t="shared" si="4"/>
        <v>12.7659574468085</v>
      </c>
      <c r="AF32" s="74">
        <f t="shared" si="5"/>
        <v>25.531914893617</v>
      </c>
      <c r="AG32" s="74">
        <f t="shared" si="6"/>
        <v>19.148936170212799</v>
      </c>
      <c r="AH32" s="74">
        <f t="shared" si="7"/>
        <v>19.148936170212799</v>
      </c>
      <c r="AI32" s="74">
        <f t="shared" si="8"/>
        <v>19.148936170212799</v>
      </c>
      <c r="AJ32" s="75">
        <f t="shared" si="9"/>
        <v>31.914893617021299</v>
      </c>
      <c r="AK32" s="85"/>
      <c r="AL32" s="84" t="s">
        <v>309</v>
      </c>
      <c r="AM32" s="86"/>
    </row>
    <row r="33" spans="1:39" ht="15.6">
      <c r="A33" s="1">
        <f t="shared" si="10"/>
        <v>11</v>
      </c>
      <c r="B33" s="581" t="s">
        <v>908</v>
      </c>
      <c r="C33" s="32" t="s">
        <v>483</v>
      </c>
      <c r="D33" s="36">
        <v>6.3829787234042596</v>
      </c>
      <c r="E33" s="37">
        <v>-1</v>
      </c>
      <c r="F33" s="38"/>
      <c r="G33" s="38"/>
      <c r="H33" s="38"/>
      <c r="I33" s="38">
        <v>-1</v>
      </c>
      <c r="J33" s="38">
        <v>-2</v>
      </c>
      <c r="K33" s="38"/>
      <c r="L33" s="38"/>
      <c r="M33" s="38">
        <v>-2</v>
      </c>
      <c r="N33" s="38"/>
      <c r="O33" s="38">
        <v>1</v>
      </c>
      <c r="P33" s="38"/>
      <c r="Q33" s="38"/>
      <c r="R33" s="38"/>
      <c r="S33" s="38"/>
      <c r="T33" s="64"/>
      <c r="U33" s="61">
        <v>1</v>
      </c>
      <c r="V33" s="62">
        <v>5</v>
      </c>
      <c r="W33" s="62">
        <v>3</v>
      </c>
      <c r="X33" s="62">
        <v>5</v>
      </c>
      <c r="Y33" s="62">
        <v>3</v>
      </c>
      <c r="Z33" s="74">
        <v>3</v>
      </c>
      <c r="AA33" s="74">
        <v>3</v>
      </c>
      <c r="AB33" s="75">
        <v>5</v>
      </c>
      <c r="AC33" s="76">
        <f t="shared" si="2"/>
        <v>6.3829787234042596</v>
      </c>
      <c r="AD33" s="74">
        <f t="shared" si="3"/>
        <v>31.914893617021299</v>
      </c>
      <c r="AE33" s="77">
        <f t="shared" si="4"/>
        <v>19.148936170212799</v>
      </c>
      <c r="AF33" s="74">
        <f t="shared" si="5"/>
        <v>31.914893617021299</v>
      </c>
      <c r="AG33" s="74">
        <f t="shared" si="6"/>
        <v>19.148936170212799</v>
      </c>
      <c r="AH33" s="74">
        <f t="shared" si="7"/>
        <v>19.148936170212799</v>
      </c>
      <c r="AI33" s="74">
        <f t="shared" si="8"/>
        <v>19.148936170212799</v>
      </c>
      <c r="AJ33" s="75">
        <f t="shared" si="9"/>
        <v>31.914893617021299</v>
      </c>
      <c r="AK33" s="85"/>
      <c r="AL33" s="84" t="s">
        <v>309</v>
      </c>
      <c r="AM33" s="86"/>
    </row>
    <row r="34" spans="1:39" ht="15.6">
      <c r="A34" s="1">
        <f t="shared" si="10"/>
        <v>12</v>
      </c>
      <c r="B34" s="581" t="s">
        <v>909</v>
      </c>
      <c r="C34" s="32" t="s">
        <v>484</v>
      </c>
      <c r="D34" s="39">
        <v>8.5106382978723403</v>
      </c>
      <c r="E34" s="40"/>
      <c r="F34" s="41"/>
      <c r="G34" s="41"/>
      <c r="H34" s="41"/>
      <c r="I34" s="41"/>
      <c r="J34" s="41"/>
      <c r="K34" s="41"/>
      <c r="L34" s="41"/>
      <c r="M34" s="41"/>
      <c r="N34" s="41"/>
      <c r="O34" s="41">
        <v>-1</v>
      </c>
      <c r="P34" s="41">
        <v>-2</v>
      </c>
      <c r="Q34" s="41"/>
      <c r="R34" s="41"/>
      <c r="S34" s="41"/>
      <c r="T34" s="65"/>
      <c r="U34" s="61">
        <v>2</v>
      </c>
      <c r="V34" s="62">
        <v>4</v>
      </c>
      <c r="W34" s="62">
        <v>4</v>
      </c>
      <c r="X34" s="62">
        <v>4</v>
      </c>
      <c r="Y34" s="62">
        <v>3</v>
      </c>
      <c r="Z34" s="74">
        <v>4</v>
      </c>
      <c r="AA34" s="74">
        <v>4</v>
      </c>
      <c r="AB34" s="75">
        <v>4</v>
      </c>
      <c r="AC34" s="76">
        <f t="shared" si="2"/>
        <v>17.021276595744698</v>
      </c>
      <c r="AD34" s="74">
        <f t="shared" si="3"/>
        <v>34.042553191489397</v>
      </c>
      <c r="AE34" s="77">
        <f t="shared" si="4"/>
        <v>34.042553191489397</v>
      </c>
      <c r="AF34" s="74">
        <f t="shared" si="5"/>
        <v>34.042553191489397</v>
      </c>
      <c r="AG34" s="74">
        <f t="shared" si="6"/>
        <v>25.531914893617</v>
      </c>
      <c r="AH34" s="74">
        <f t="shared" si="7"/>
        <v>34.042553191489397</v>
      </c>
      <c r="AI34" s="74">
        <f t="shared" si="8"/>
        <v>34.042553191489397</v>
      </c>
      <c r="AJ34" s="75">
        <f t="shared" si="9"/>
        <v>34.042553191489397</v>
      </c>
      <c r="AK34" s="85"/>
      <c r="AL34" s="84" t="s">
        <v>475</v>
      </c>
      <c r="AM34" s="86"/>
    </row>
    <row r="35" spans="1:39" ht="15.6">
      <c r="A35" s="1">
        <f t="shared" si="10"/>
        <v>13</v>
      </c>
      <c r="B35" s="581" t="s">
        <v>910</v>
      </c>
      <c r="C35" s="42" t="s">
        <v>267</v>
      </c>
      <c r="D35" s="39">
        <v>6.3829787234042596</v>
      </c>
      <c r="E35" s="40">
        <v>-1</v>
      </c>
      <c r="F35" s="41"/>
      <c r="G35" s="41"/>
      <c r="H35" s="41"/>
      <c r="I35" s="41">
        <v>-1</v>
      </c>
      <c r="J35" s="41">
        <v>-2</v>
      </c>
      <c r="K35" s="41">
        <v>-2</v>
      </c>
      <c r="L35" s="41">
        <v>-2</v>
      </c>
      <c r="M35" s="41"/>
      <c r="N35" s="41"/>
      <c r="O35" s="41"/>
      <c r="P35" s="41"/>
      <c r="Q35" s="41"/>
      <c r="R35" s="41"/>
      <c r="S35" s="41"/>
      <c r="T35" s="65"/>
      <c r="U35" s="61">
        <v>2</v>
      </c>
      <c r="V35" s="62">
        <v>5</v>
      </c>
      <c r="W35" s="62">
        <v>4</v>
      </c>
      <c r="X35" s="62">
        <v>5</v>
      </c>
      <c r="Y35" s="62">
        <v>4</v>
      </c>
      <c r="Z35" s="74">
        <v>3</v>
      </c>
      <c r="AA35" s="74">
        <v>3</v>
      </c>
      <c r="AB35" s="75">
        <v>4</v>
      </c>
      <c r="AC35" s="76">
        <f t="shared" si="2"/>
        <v>12.7659574468085</v>
      </c>
      <c r="AD35" s="74">
        <f t="shared" si="3"/>
        <v>31.914893617021299</v>
      </c>
      <c r="AE35" s="77">
        <f t="shared" si="4"/>
        <v>25.531914893617</v>
      </c>
      <c r="AF35" s="74">
        <f t="shared" si="5"/>
        <v>31.914893617021299</v>
      </c>
      <c r="AG35" s="74">
        <f t="shared" si="6"/>
        <v>25.531914893617</v>
      </c>
      <c r="AH35" s="74">
        <f t="shared" si="7"/>
        <v>19.148936170212799</v>
      </c>
      <c r="AI35" s="74">
        <f t="shared" si="8"/>
        <v>19.148936170212799</v>
      </c>
      <c r="AJ35" s="75">
        <f t="shared" si="9"/>
        <v>25.531914893617</v>
      </c>
      <c r="AL35" s="84" t="s">
        <v>309</v>
      </c>
      <c r="AM35" s="86"/>
    </row>
    <row r="36" spans="1:39" ht="15.6">
      <c r="A36" s="1">
        <f t="shared" si="10"/>
        <v>14</v>
      </c>
      <c r="B36" s="582" t="s">
        <v>911</v>
      </c>
      <c r="C36" s="43" t="s">
        <v>485</v>
      </c>
      <c r="D36" s="44">
        <v>6.3829787234042596</v>
      </c>
      <c r="E36" s="40"/>
      <c r="F36" s="41"/>
      <c r="G36" s="41"/>
      <c r="H36" s="41"/>
      <c r="I36" s="41">
        <v>-1</v>
      </c>
      <c r="J36" s="41">
        <v>-2</v>
      </c>
      <c r="K36" s="41">
        <v>-2</v>
      </c>
      <c r="L36" s="41">
        <v>-2</v>
      </c>
      <c r="M36" s="41"/>
      <c r="N36" s="41"/>
      <c r="O36" s="41"/>
      <c r="P36" s="41"/>
      <c r="Q36" s="41">
        <v>-1</v>
      </c>
      <c r="R36" s="41">
        <v>-1</v>
      </c>
      <c r="S36" s="41">
        <v>-1</v>
      </c>
      <c r="T36" s="65"/>
      <c r="U36" s="66">
        <v>1</v>
      </c>
      <c r="V36" s="67">
        <v>4</v>
      </c>
      <c r="W36" s="67">
        <v>3</v>
      </c>
      <c r="X36" s="67">
        <v>5</v>
      </c>
      <c r="Y36" s="67">
        <v>1</v>
      </c>
      <c r="Z36" s="78">
        <v>4</v>
      </c>
      <c r="AA36" s="78">
        <v>4</v>
      </c>
      <c r="AB36" s="79">
        <v>4</v>
      </c>
      <c r="AC36" s="80">
        <f t="shared" si="2"/>
        <v>6.3829787234042596</v>
      </c>
      <c r="AD36" s="78">
        <f t="shared" si="3"/>
        <v>25.531914893617</v>
      </c>
      <c r="AE36" s="81">
        <f t="shared" si="4"/>
        <v>19.148936170212799</v>
      </c>
      <c r="AF36" s="78">
        <f t="shared" si="5"/>
        <v>31.914893617021299</v>
      </c>
      <c r="AG36" s="78">
        <f t="shared" si="6"/>
        <v>6.3829787234042596</v>
      </c>
      <c r="AH36" s="78">
        <f t="shared" si="7"/>
        <v>25.531914893617</v>
      </c>
      <c r="AI36" s="78">
        <f t="shared" si="8"/>
        <v>25.531914893617</v>
      </c>
      <c r="AJ36" s="79">
        <f t="shared" si="9"/>
        <v>25.531914893617</v>
      </c>
      <c r="AL36" s="87" t="s">
        <v>475</v>
      </c>
      <c r="AM36" s="86"/>
    </row>
    <row r="37" spans="1:39" ht="15.6">
      <c r="B37" s="16" t="s">
        <v>486</v>
      </c>
      <c r="C37" s="423" t="s">
        <v>487</v>
      </c>
      <c r="D37" s="424"/>
      <c r="E37" s="45" t="s">
        <v>488</v>
      </c>
      <c r="F37" s="45" t="s">
        <v>489</v>
      </c>
      <c r="G37" s="45" t="s">
        <v>489</v>
      </c>
      <c r="H37" s="45" t="s">
        <v>489</v>
      </c>
      <c r="I37" s="45" t="s">
        <v>490</v>
      </c>
      <c r="J37" s="45" t="s">
        <v>491</v>
      </c>
      <c r="K37" s="45" t="s">
        <v>492</v>
      </c>
      <c r="L37" s="45" t="s">
        <v>493</v>
      </c>
      <c r="M37" s="45" t="s">
        <v>494</v>
      </c>
      <c r="N37" s="57" t="s">
        <v>495</v>
      </c>
      <c r="O37" s="45" t="s">
        <v>489</v>
      </c>
      <c r="P37" s="45" t="s">
        <v>496</v>
      </c>
      <c r="Q37" s="45" t="s">
        <v>496</v>
      </c>
      <c r="R37" s="45" t="s">
        <v>497</v>
      </c>
      <c r="S37" s="45" t="s">
        <v>498</v>
      </c>
      <c r="T37" s="68" t="s">
        <v>498</v>
      </c>
      <c r="Y37" s="82"/>
      <c r="Z37" s="82"/>
      <c r="AA37" s="82"/>
      <c r="AB37" s="82"/>
      <c r="AC37" s="82">
        <f t="shared" ref="AC37:AJ37" si="11">SUM(AC23:AC36)</f>
        <v>121.276595744681</v>
      </c>
      <c r="AD37" s="82">
        <f t="shared" si="11"/>
        <v>463.82978723404199</v>
      </c>
      <c r="AE37" s="82">
        <f t="shared" si="11"/>
        <v>387.23404255319099</v>
      </c>
      <c r="AF37" s="82">
        <f t="shared" si="11"/>
        <v>329.787234042553</v>
      </c>
      <c r="AG37" s="82">
        <f t="shared" si="11"/>
        <v>304.255319148936</v>
      </c>
      <c r="AH37" s="82">
        <f t="shared" si="11"/>
        <v>331.91489361702099</v>
      </c>
      <c r="AI37" s="82">
        <f t="shared" si="11"/>
        <v>340.42553191489299</v>
      </c>
      <c r="AJ37" s="82">
        <f t="shared" si="11"/>
        <v>255.31914893617</v>
      </c>
    </row>
    <row r="38" spans="1:39">
      <c r="B38" s="3" t="s">
        <v>463</v>
      </c>
      <c r="C38" s="425" t="s">
        <v>499</v>
      </c>
      <c r="D38" s="426"/>
      <c r="E38" s="46">
        <v>0.01</v>
      </c>
      <c r="F38" s="46">
        <v>0.5</v>
      </c>
      <c r="G38" s="46">
        <v>0.05</v>
      </c>
      <c r="H38" s="46">
        <v>0.01</v>
      </c>
      <c r="I38" s="46"/>
      <c r="J38" s="46">
        <v>2</v>
      </c>
      <c r="K38" s="46">
        <v>500</v>
      </c>
      <c r="L38" s="46">
        <v>10</v>
      </c>
      <c r="M38" s="46">
        <v>0.3</v>
      </c>
      <c r="N38" s="46">
        <v>60</v>
      </c>
      <c r="O38" s="46">
        <v>3.0000000000000001E-3</v>
      </c>
      <c r="P38" s="46">
        <v>10</v>
      </c>
      <c r="Q38" s="46">
        <v>3</v>
      </c>
      <c r="R38" s="46">
        <v>0.1</v>
      </c>
      <c r="S38" s="46"/>
      <c r="T38" s="69">
        <v>80</v>
      </c>
    </row>
    <row r="39" spans="1:39">
      <c r="B39" s="3" t="s">
        <v>464</v>
      </c>
      <c r="C39" s="425" t="s">
        <v>500</v>
      </c>
      <c r="D39" s="426"/>
      <c r="E39" s="46">
        <v>0.01</v>
      </c>
      <c r="F39" s="46">
        <v>0.8</v>
      </c>
      <c r="G39" s="46">
        <v>2</v>
      </c>
      <c r="H39" s="46">
        <v>10</v>
      </c>
      <c r="I39" s="46">
        <v>10</v>
      </c>
      <c r="J39" s="46">
        <v>2</v>
      </c>
      <c r="K39" s="46">
        <v>50</v>
      </c>
      <c r="L39" s="46"/>
      <c r="M39" s="46">
        <v>0.2</v>
      </c>
      <c r="N39" s="46">
        <v>60</v>
      </c>
      <c r="O39" s="46" t="s">
        <v>244</v>
      </c>
      <c r="P39" s="46">
        <v>8</v>
      </c>
      <c r="Q39" s="46">
        <v>3</v>
      </c>
      <c r="R39" s="46">
        <v>0.05</v>
      </c>
      <c r="S39" s="46">
        <v>80</v>
      </c>
      <c r="T39" s="69" t="s">
        <v>244</v>
      </c>
      <c r="X39" s="13"/>
    </row>
    <row r="40" spans="1:39">
      <c r="B40" s="3" t="s">
        <v>465</v>
      </c>
      <c r="C40" s="425" t="s">
        <v>501</v>
      </c>
      <c r="D40" s="426"/>
      <c r="E40" s="46"/>
      <c r="F40" s="46"/>
      <c r="G40" s="46"/>
      <c r="H40" s="46">
        <v>5</v>
      </c>
      <c r="I40" s="46"/>
      <c r="J40" s="46">
        <v>2</v>
      </c>
      <c r="K40" s="46">
        <v>30</v>
      </c>
      <c r="L40" s="46"/>
      <c r="M40" s="46"/>
      <c r="N40" s="46">
        <v>60</v>
      </c>
      <c r="O40" s="46"/>
      <c r="P40" s="46">
        <v>5</v>
      </c>
      <c r="Q40" s="46">
        <v>5</v>
      </c>
      <c r="R40" s="46">
        <v>0.05</v>
      </c>
      <c r="S40" s="46">
        <v>95</v>
      </c>
      <c r="T40" s="69"/>
      <c r="X40" s="13"/>
    </row>
    <row r="41" spans="1:39">
      <c r="B41" s="3" t="s">
        <v>466</v>
      </c>
      <c r="C41" s="425" t="s">
        <v>502</v>
      </c>
      <c r="D41" s="426"/>
      <c r="E41" s="46"/>
      <c r="F41" s="46">
        <v>2</v>
      </c>
      <c r="G41" s="46"/>
      <c r="H41" s="46">
        <v>60</v>
      </c>
      <c r="I41" s="46"/>
      <c r="J41" s="46">
        <v>2</v>
      </c>
      <c r="K41" s="46"/>
      <c r="L41" s="46"/>
      <c r="M41" s="46"/>
      <c r="N41" s="46">
        <v>60</v>
      </c>
      <c r="O41" s="46"/>
      <c r="P41" s="46">
        <v>10</v>
      </c>
      <c r="Q41" s="46">
        <v>3</v>
      </c>
      <c r="R41" s="46">
        <v>0.05</v>
      </c>
      <c r="S41" s="46">
        <v>95</v>
      </c>
      <c r="T41" s="69"/>
      <c r="X41" s="13"/>
    </row>
    <row r="42" spans="1:39">
      <c r="B42" s="3" t="s">
        <v>467</v>
      </c>
      <c r="C42" s="425" t="s">
        <v>503</v>
      </c>
      <c r="D42" s="426"/>
      <c r="E42" s="46">
        <v>0.01</v>
      </c>
      <c r="F42" s="46"/>
      <c r="G42" s="46">
        <v>2</v>
      </c>
      <c r="H42" s="46">
        <v>60</v>
      </c>
      <c r="I42" s="46"/>
      <c r="J42" s="46">
        <v>1</v>
      </c>
      <c r="K42" s="46">
        <v>20</v>
      </c>
      <c r="L42" s="46"/>
      <c r="M42" s="46">
        <v>0.1</v>
      </c>
      <c r="N42" s="46">
        <v>60</v>
      </c>
      <c r="O42" s="46"/>
      <c r="P42" s="46">
        <v>8</v>
      </c>
      <c r="Q42" s="46">
        <v>2</v>
      </c>
      <c r="R42" s="46">
        <v>0.05</v>
      </c>
      <c r="S42" s="46">
        <v>95</v>
      </c>
      <c r="T42" s="69"/>
      <c r="X42" s="13"/>
    </row>
    <row r="43" spans="1:39">
      <c r="B43" s="3"/>
      <c r="C43" s="425" t="s">
        <v>504</v>
      </c>
      <c r="D43" s="426"/>
      <c r="E43" s="46" t="s">
        <v>505</v>
      </c>
      <c r="F43" s="46" t="s">
        <v>505</v>
      </c>
      <c r="G43" s="46" t="s">
        <v>505</v>
      </c>
      <c r="H43" s="46" t="s">
        <v>505</v>
      </c>
      <c r="I43" s="46">
        <v>10</v>
      </c>
      <c r="J43" s="46">
        <v>2</v>
      </c>
      <c r="K43" s="46" t="s">
        <v>505</v>
      </c>
      <c r="L43" s="46">
        <v>10</v>
      </c>
      <c r="M43" s="46" t="s">
        <v>505</v>
      </c>
      <c r="N43" s="46">
        <v>60</v>
      </c>
      <c r="O43" s="46" t="s">
        <v>505</v>
      </c>
      <c r="P43" s="46" t="s">
        <v>505</v>
      </c>
      <c r="Q43" s="46" t="s">
        <v>505</v>
      </c>
      <c r="R43" s="46" t="s">
        <v>505</v>
      </c>
      <c r="S43" s="46" t="s">
        <v>505</v>
      </c>
      <c r="T43" s="69" t="s">
        <v>505</v>
      </c>
      <c r="X43" s="13"/>
    </row>
    <row r="44" spans="1:39" ht="15.6">
      <c r="B44" s="3"/>
      <c r="C44" s="431" t="s">
        <v>506</v>
      </c>
      <c r="D44" s="432"/>
      <c r="E44" s="47">
        <v>0.2</v>
      </c>
      <c r="F44" s="47">
        <v>10</v>
      </c>
      <c r="G44" s="47">
        <v>0.1</v>
      </c>
      <c r="H44" s="47">
        <v>1</v>
      </c>
      <c r="I44" s="47">
        <v>10</v>
      </c>
      <c r="J44" s="47">
        <v>2</v>
      </c>
      <c r="K44" s="47">
        <v>1000</v>
      </c>
      <c r="L44" s="47">
        <v>10</v>
      </c>
      <c r="M44" s="47">
        <v>0.1</v>
      </c>
      <c r="N44" s="47">
        <v>60</v>
      </c>
      <c r="O44" s="47">
        <v>2</v>
      </c>
      <c r="P44" s="47">
        <v>10</v>
      </c>
      <c r="Q44" s="47">
        <v>10</v>
      </c>
      <c r="R44" s="47">
        <v>0.1</v>
      </c>
      <c r="S44" s="47">
        <v>98</v>
      </c>
      <c r="T44" s="70">
        <v>80</v>
      </c>
      <c r="X44" s="13"/>
    </row>
    <row r="45" spans="1:39">
      <c r="B45" s="3"/>
      <c r="C45" s="425" t="s">
        <v>507</v>
      </c>
      <c r="D45" s="426"/>
      <c r="E45" s="48">
        <f t="shared" ref="E45:T45" si="12">SUMPRODUCT((ABS(E23:E36)),$D23:$D36)</f>
        <v>57.446808510638199</v>
      </c>
      <c r="F45" s="48">
        <f t="shared" si="12"/>
        <v>19.148936170212799</v>
      </c>
      <c r="G45" s="48">
        <f t="shared" si="12"/>
        <v>12.7659574468085</v>
      </c>
      <c r="H45" s="48">
        <f t="shared" si="12"/>
        <v>12.7659574468085</v>
      </c>
      <c r="I45" s="48">
        <f t="shared" si="12"/>
        <v>53.191489361702097</v>
      </c>
      <c r="J45" s="48">
        <f t="shared" si="12"/>
        <v>57.446808510638299</v>
      </c>
      <c r="K45" s="48">
        <f t="shared" si="12"/>
        <v>34.042553191489397</v>
      </c>
      <c r="L45" s="48">
        <f t="shared" si="12"/>
        <v>63.829787234042499</v>
      </c>
      <c r="M45" s="48">
        <f t="shared" si="12"/>
        <v>46.808510638297797</v>
      </c>
      <c r="N45" s="48">
        <f t="shared" si="12"/>
        <v>12.7659574468085</v>
      </c>
      <c r="O45" s="48">
        <f t="shared" si="12"/>
        <v>27.659574468085101</v>
      </c>
      <c r="P45" s="48">
        <f t="shared" si="12"/>
        <v>38.297872340425499</v>
      </c>
      <c r="Q45" s="48">
        <f t="shared" si="12"/>
        <v>65.957446808510596</v>
      </c>
      <c r="R45" s="48">
        <f t="shared" si="12"/>
        <v>65.957446808510596</v>
      </c>
      <c r="S45" s="48">
        <f t="shared" si="12"/>
        <v>65.957446808510596</v>
      </c>
      <c r="T45" s="71">
        <f t="shared" si="12"/>
        <v>4.2553191489361604</v>
      </c>
      <c r="X45" s="13"/>
    </row>
    <row r="46" spans="1:39">
      <c r="B46" s="3"/>
      <c r="C46" s="425" t="s">
        <v>508</v>
      </c>
      <c r="D46" s="426"/>
      <c r="E46" s="46">
        <f t="shared" ref="E46:T46" si="13">(SUMPRODUCT(E23:E36,$D23:$D36)+SUMPRODUCT((ABS(E23:E36)),$D23:$D36))/2</f>
        <v>44.680851063829699</v>
      </c>
      <c r="F46" s="46">
        <f t="shared" si="13"/>
        <v>19.148936170212799</v>
      </c>
      <c r="G46" s="46">
        <f t="shared" si="13"/>
        <v>12.7659574468085</v>
      </c>
      <c r="H46" s="46">
        <f t="shared" si="13"/>
        <v>12.7659574468085</v>
      </c>
      <c r="I46" s="46">
        <f t="shared" si="13"/>
        <v>34.042553191489297</v>
      </c>
      <c r="J46" s="46">
        <f t="shared" si="13"/>
        <v>19.148936170212799</v>
      </c>
      <c r="K46" s="46">
        <f t="shared" si="13"/>
        <v>8.5106382978723403</v>
      </c>
      <c r="L46" s="46">
        <f t="shared" si="13"/>
        <v>38.297872340425499</v>
      </c>
      <c r="M46" s="46">
        <f t="shared" si="13"/>
        <v>34.042553191489297</v>
      </c>
      <c r="N46" s="46">
        <f t="shared" si="13"/>
        <v>12.7659574468085</v>
      </c>
      <c r="O46" s="46">
        <f t="shared" si="13"/>
        <v>19.148936170212799</v>
      </c>
      <c r="P46" s="46">
        <f t="shared" si="13"/>
        <v>21.276595744680801</v>
      </c>
      <c r="Q46" s="46">
        <f t="shared" si="13"/>
        <v>59.574468085106297</v>
      </c>
      <c r="R46" s="46">
        <f t="shared" si="13"/>
        <v>59.574468085106297</v>
      </c>
      <c r="S46" s="46">
        <f t="shared" si="13"/>
        <v>59.574468085106297</v>
      </c>
      <c r="T46" s="69">
        <f t="shared" si="13"/>
        <v>4.2553191489361604</v>
      </c>
      <c r="X46" s="13"/>
    </row>
    <row r="47" spans="1:39">
      <c r="B47" s="3"/>
      <c r="C47" s="427" t="s">
        <v>509</v>
      </c>
      <c r="D47" s="428"/>
      <c r="E47" s="46">
        <f t="shared" ref="E47:T47" si="14">(-SUMPRODUCT(E23:E36,$D23:$D36)+SUMPRODUCT(ABS(E23:E36),$D23:$D36))/2</f>
        <v>12.7659574468085</v>
      </c>
      <c r="F47" s="46">
        <f t="shared" si="14"/>
        <v>0</v>
      </c>
      <c r="G47" s="46">
        <f t="shared" si="14"/>
        <v>0</v>
      </c>
      <c r="H47" s="46">
        <f t="shared" si="14"/>
        <v>0</v>
      </c>
      <c r="I47" s="46">
        <f t="shared" si="14"/>
        <v>19.148936170212799</v>
      </c>
      <c r="J47" s="46">
        <f t="shared" si="14"/>
        <v>38.297872340425599</v>
      </c>
      <c r="K47" s="46">
        <f t="shared" si="14"/>
        <v>25.531914893617</v>
      </c>
      <c r="L47" s="46">
        <f t="shared" si="14"/>
        <v>25.531914893617</v>
      </c>
      <c r="M47" s="46">
        <f t="shared" si="14"/>
        <v>12.7659574468085</v>
      </c>
      <c r="N47" s="46">
        <f t="shared" si="14"/>
        <v>0</v>
      </c>
      <c r="O47" s="46">
        <f t="shared" si="14"/>
        <v>8.5106382978723403</v>
      </c>
      <c r="P47" s="46">
        <f t="shared" si="14"/>
        <v>17.021276595744698</v>
      </c>
      <c r="Q47" s="46">
        <f t="shared" si="14"/>
        <v>6.3829787234042596</v>
      </c>
      <c r="R47" s="46">
        <f t="shared" si="14"/>
        <v>6.3829787234042596</v>
      </c>
      <c r="S47" s="46">
        <f t="shared" si="14"/>
        <v>6.3829787234042596</v>
      </c>
      <c r="T47" s="69">
        <f t="shared" si="14"/>
        <v>0</v>
      </c>
      <c r="X47" s="13"/>
    </row>
    <row r="48" spans="1:39">
      <c r="C48" s="425" t="s">
        <v>510</v>
      </c>
      <c r="D48" s="426"/>
      <c r="E48" s="46">
        <v>4</v>
      </c>
      <c r="F48" s="46">
        <v>5</v>
      </c>
      <c r="G48" s="46">
        <v>2</v>
      </c>
      <c r="H48" s="46">
        <v>1</v>
      </c>
      <c r="I48" s="46">
        <v>1</v>
      </c>
      <c r="J48" s="46">
        <v>2</v>
      </c>
      <c r="K48" s="46">
        <v>1</v>
      </c>
      <c r="L48" s="46">
        <v>1</v>
      </c>
      <c r="M48" s="46">
        <v>2</v>
      </c>
      <c r="N48" s="46">
        <v>2</v>
      </c>
      <c r="O48" s="46">
        <v>4</v>
      </c>
      <c r="P48" s="46">
        <v>2</v>
      </c>
      <c r="Q48" s="46">
        <v>4</v>
      </c>
      <c r="R48" s="46">
        <v>4</v>
      </c>
      <c r="S48" s="46">
        <v>4</v>
      </c>
      <c r="T48" s="69">
        <v>5</v>
      </c>
      <c r="X48" s="13"/>
    </row>
    <row r="49" spans="3:33">
      <c r="C49" s="429" t="s">
        <v>511</v>
      </c>
      <c r="D49" s="430"/>
      <c r="E49" s="49">
        <v>5</v>
      </c>
      <c r="F49" s="49">
        <v>3</v>
      </c>
      <c r="G49" s="49">
        <v>1</v>
      </c>
      <c r="H49" s="49">
        <v>1</v>
      </c>
      <c r="I49" s="49">
        <v>4</v>
      </c>
      <c r="J49" s="49">
        <v>4</v>
      </c>
      <c r="K49" s="49">
        <v>4</v>
      </c>
      <c r="L49" s="49">
        <v>4</v>
      </c>
      <c r="M49" s="49">
        <v>3</v>
      </c>
      <c r="N49" s="49">
        <v>2</v>
      </c>
      <c r="O49" s="49">
        <v>4</v>
      </c>
      <c r="P49" s="49">
        <v>3</v>
      </c>
      <c r="Q49" s="49">
        <v>5</v>
      </c>
      <c r="R49" s="49">
        <v>5</v>
      </c>
      <c r="S49" s="49">
        <v>5</v>
      </c>
      <c r="T49" s="72">
        <v>3</v>
      </c>
      <c r="X49" s="13"/>
    </row>
    <row r="50" spans="3:33">
      <c r="X50" s="13"/>
    </row>
    <row r="51" spans="3:33" ht="15.6">
      <c r="X51" s="13"/>
      <c r="AG51" s="2"/>
    </row>
    <row r="52" spans="3:33">
      <c r="X52" s="13"/>
      <c r="AF52" s="13"/>
    </row>
    <row r="53" spans="3:33">
      <c r="X53" s="13"/>
      <c r="AF53" s="13"/>
    </row>
    <row r="54" spans="3:33">
      <c r="AF54" s="13"/>
    </row>
    <row r="55" spans="3:33">
      <c r="AF55" s="13"/>
    </row>
    <row r="56" spans="3:33">
      <c r="AF56" s="13"/>
    </row>
    <row r="57" spans="3:33">
      <c r="AF57" s="13"/>
    </row>
  </sheetData>
  <mergeCells count="19">
    <mergeCell ref="C47:D47"/>
    <mergeCell ref="C48:D48"/>
    <mergeCell ref="C49:D49"/>
    <mergeCell ref="C42:D42"/>
    <mergeCell ref="C43:D43"/>
    <mergeCell ref="C44:D44"/>
    <mergeCell ref="C45:D45"/>
    <mergeCell ref="C46:D46"/>
    <mergeCell ref="C37:D37"/>
    <mergeCell ref="C38:D38"/>
    <mergeCell ref="C39:D39"/>
    <mergeCell ref="C40:D40"/>
    <mergeCell ref="C41:D41"/>
    <mergeCell ref="B2:C2"/>
    <mergeCell ref="B4:C4"/>
    <mergeCell ref="U19:X19"/>
    <mergeCell ref="U20:AE20"/>
    <mergeCell ref="U21:AB21"/>
    <mergeCell ref="AC21:AJ2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D788-A35D-4263-9D41-DF37110ACD21}">
  <dimension ref="A1:D39"/>
  <sheetViews>
    <sheetView zoomScale="80" zoomScaleNormal="90" workbookViewId="0">
      <selection activeCell="C8" sqref="C8"/>
    </sheetView>
  </sheetViews>
  <sheetFormatPr defaultColWidth="62.5546875" defaultRowHeight="14.4"/>
  <cols>
    <col min="1" max="1" width="62.5546875" style="585" customWidth="1"/>
    <col min="2" max="2" width="65.77734375" style="585" customWidth="1"/>
    <col min="3" max="3" width="62.5546875" style="585" customWidth="1"/>
    <col min="4" max="4" width="39.5546875" style="585" customWidth="1"/>
    <col min="5" max="5" width="62.5546875" style="585" customWidth="1"/>
    <col min="6" max="16384" width="62.5546875" style="585"/>
  </cols>
  <sheetData>
    <row r="1" spans="1:4" ht="15" thickBot="1">
      <c r="A1" s="434" t="s">
        <v>531</v>
      </c>
      <c r="B1" s="435" t="s">
        <v>532</v>
      </c>
      <c r="C1" s="434" t="s">
        <v>533</v>
      </c>
      <c r="D1" s="436" t="s">
        <v>534</v>
      </c>
    </row>
    <row r="2" spans="1:4" ht="28.8">
      <c r="A2" s="437" t="s">
        <v>535</v>
      </c>
      <c r="B2" s="584" t="s">
        <v>912</v>
      </c>
      <c r="C2" s="437" t="s">
        <v>537</v>
      </c>
      <c r="D2" s="438" t="s">
        <v>536</v>
      </c>
    </row>
    <row r="3" spans="1:4" ht="28.8">
      <c r="A3" s="439" t="s">
        <v>538</v>
      </c>
      <c r="B3" s="584" t="s">
        <v>913</v>
      </c>
      <c r="C3" s="437" t="s">
        <v>540</v>
      </c>
      <c r="D3" s="440" t="s">
        <v>539</v>
      </c>
    </row>
    <row r="4" spans="1:4" ht="43.2">
      <c r="A4" s="439" t="s">
        <v>541</v>
      </c>
      <c r="B4" s="586" t="s">
        <v>539</v>
      </c>
      <c r="C4" s="437" t="s">
        <v>543</v>
      </c>
      <c r="D4" s="440" t="s">
        <v>542</v>
      </c>
    </row>
    <row r="5" spans="1:4" ht="43.2">
      <c r="A5" s="437" t="s">
        <v>573</v>
      </c>
      <c r="B5" s="586" t="s">
        <v>542</v>
      </c>
      <c r="C5" s="437" t="s">
        <v>546</v>
      </c>
      <c r="D5" s="438" t="s">
        <v>551</v>
      </c>
    </row>
    <row r="6" spans="1:4" ht="43.2">
      <c r="A6" s="439" t="s">
        <v>574</v>
      </c>
      <c r="B6" s="584" t="s">
        <v>545</v>
      </c>
      <c r="C6" s="437" t="s">
        <v>550</v>
      </c>
      <c r="D6" s="438" t="s">
        <v>547</v>
      </c>
    </row>
    <row r="7" spans="1:4" ht="33" customHeight="1">
      <c r="A7" s="439" t="s">
        <v>575</v>
      </c>
      <c r="B7" s="586" t="s">
        <v>549</v>
      </c>
      <c r="C7" s="437" t="s">
        <v>553</v>
      </c>
      <c r="D7" s="438" t="s">
        <v>915</v>
      </c>
    </row>
    <row r="8" spans="1:4" ht="57.6">
      <c r="A8" s="439" t="s">
        <v>576</v>
      </c>
      <c r="B8" s="586" t="s">
        <v>552</v>
      </c>
      <c r="C8" s="439" t="s">
        <v>206</v>
      </c>
      <c r="D8" s="438" t="s">
        <v>917</v>
      </c>
    </row>
    <row r="9" spans="1:4" ht="28.8">
      <c r="A9" s="437" t="s">
        <v>544</v>
      </c>
      <c r="B9" s="584" t="s">
        <v>554</v>
      </c>
      <c r="C9" s="439" t="s">
        <v>209</v>
      </c>
      <c r="D9" s="442"/>
    </row>
    <row r="10" spans="1:4">
      <c r="A10" s="437" t="s">
        <v>548</v>
      </c>
      <c r="B10" s="586" t="s">
        <v>556</v>
      </c>
      <c r="C10" s="439" t="s">
        <v>215</v>
      </c>
      <c r="D10" s="442"/>
    </row>
    <row r="11" spans="1:4">
      <c r="A11" s="439" t="s">
        <v>538</v>
      </c>
      <c r="B11" s="586" t="s">
        <v>557</v>
      </c>
      <c r="C11" s="439" t="s">
        <v>228</v>
      </c>
      <c r="D11" s="442"/>
    </row>
    <row r="12" spans="1:4" ht="28.8">
      <c r="A12" s="439" t="s">
        <v>541</v>
      </c>
      <c r="B12" s="584" t="s">
        <v>559</v>
      </c>
      <c r="C12" s="437" t="s">
        <v>565</v>
      </c>
      <c r="D12" s="442"/>
    </row>
    <row r="13" spans="1:4" ht="28.8">
      <c r="A13" s="437" t="s">
        <v>555</v>
      </c>
      <c r="B13" s="586" t="s">
        <v>561</v>
      </c>
      <c r="C13" s="439" t="s">
        <v>207</v>
      </c>
      <c r="D13" s="442"/>
    </row>
    <row r="14" spans="1:4" ht="28.8">
      <c r="A14" s="439" t="s">
        <v>914</v>
      </c>
      <c r="B14" s="586" t="s">
        <v>564</v>
      </c>
      <c r="C14" s="439" t="s">
        <v>210</v>
      </c>
      <c r="D14" s="442"/>
    </row>
    <row r="15" spans="1:4" ht="28.8">
      <c r="A15" s="437" t="s">
        <v>566</v>
      </c>
      <c r="B15" s="584" t="s">
        <v>567</v>
      </c>
      <c r="C15" s="439" t="s">
        <v>213</v>
      </c>
      <c r="D15" s="442"/>
    </row>
    <row r="16" spans="1:4" ht="43.2">
      <c r="A16" s="437" t="s">
        <v>558</v>
      </c>
      <c r="B16" s="586" t="s">
        <v>569</v>
      </c>
      <c r="C16" s="437" t="s">
        <v>562</v>
      </c>
      <c r="D16" s="442"/>
    </row>
    <row r="17" spans="1:4" ht="28.8">
      <c r="A17" s="437" t="s">
        <v>560</v>
      </c>
      <c r="B17" s="586" t="s">
        <v>571</v>
      </c>
      <c r="C17" s="437" t="s">
        <v>918</v>
      </c>
      <c r="D17" s="442"/>
    </row>
    <row r="18" spans="1:4" ht="28.8">
      <c r="A18" s="437" t="s">
        <v>563</v>
      </c>
      <c r="B18" s="584" t="s">
        <v>577</v>
      </c>
      <c r="C18" s="437" t="s">
        <v>921</v>
      </c>
      <c r="D18" s="442"/>
    </row>
    <row r="19" spans="1:4">
      <c r="A19" s="437" t="s">
        <v>568</v>
      </c>
      <c r="B19" s="586" t="s">
        <v>578</v>
      </c>
      <c r="C19" s="441"/>
      <c r="D19" s="442"/>
    </row>
    <row r="20" spans="1:4">
      <c r="A20" s="437" t="s">
        <v>570</v>
      </c>
      <c r="B20" s="586" t="s">
        <v>579</v>
      </c>
      <c r="C20" s="441"/>
      <c r="D20" s="442"/>
    </row>
    <row r="21" spans="1:4" ht="28.8">
      <c r="A21" s="441"/>
      <c r="B21" s="584" t="s">
        <v>580</v>
      </c>
      <c r="C21" s="441"/>
      <c r="D21" s="442"/>
    </row>
    <row r="22" spans="1:4">
      <c r="A22" s="441"/>
      <c r="B22" s="586" t="s">
        <v>581</v>
      </c>
      <c r="C22" s="441"/>
      <c r="D22" s="442"/>
    </row>
    <row r="23" spans="1:4">
      <c r="A23" s="441"/>
      <c r="B23" s="586" t="s">
        <v>582</v>
      </c>
      <c r="C23" s="441"/>
      <c r="D23" s="442"/>
    </row>
    <row r="24" spans="1:4" ht="28.8">
      <c r="A24" s="441"/>
      <c r="B24" s="584" t="s">
        <v>583</v>
      </c>
      <c r="C24" s="441"/>
      <c r="D24" s="442"/>
    </row>
    <row r="25" spans="1:4">
      <c r="A25" s="441"/>
      <c r="B25" s="586" t="s">
        <v>584</v>
      </c>
      <c r="C25" s="441"/>
      <c r="D25" s="442"/>
    </row>
    <row r="26" spans="1:4" ht="28.8">
      <c r="A26" s="441"/>
      <c r="B26" s="584" t="s">
        <v>585</v>
      </c>
      <c r="C26" s="441"/>
      <c r="D26" s="442"/>
    </row>
    <row r="27" spans="1:4">
      <c r="A27" s="441"/>
      <c r="B27" s="586" t="s">
        <v>586</v>
      </c>
      <c r="C27" s="441"/>
      <c r="D27" s="442"/>
    </row>
    <row r="28" spans="1:4">
      <c r="A28" s="441"/>
      <c r="B28" s="584" t="s">
        <v>572</v>
      </c>
      <c r="C28" s="441"/>
      <c r="D28" s="442"/>
    </row>
    <row r="29" spans="1:4">
      <c r="A29" s="441"/>
      <c r="B29" s="586" t="s">
        <v>205</v>
      </c>
      <c r="C29" s="441"/>
      <c r="D29" s="442"/>
    </row>
    <row r="30" spans="1:4">
      <c r="A30" s="441"/>
      <c r="B30" s="586" t="s">
        <v>214</v>
      </c>
      <c r="C30" s="441"/>
      <c r="D30" s="442"/>
    </row>
    <row r="31" spans="1:4">
      <c r="A31" s="441"/>
      <c r="B31" s="586" t="s">
        <v>220</v>
      </c>
      <c r="C31" s="441"/>
      <c r="D31" s="442"/>
    </row>
    <row r="32" spans="1:4">
      <c r="A32" s="441"/>
      <c r="B32" s="586" t="s">
        <v>227</v>
      </c>
      <c r="C32" s="441"/>
      <c r="D32" s="442"/>
    </row>
    <row r="33" spans="1:4" ht="28.8">
      <c r="A33" s="441"/>
      <c r="B33" s="584" t="s">
        <v>587</v>
      </c>
      <c r="C33" s="441"/>
      <c r="D33" s="442"/>
    </row>
    <row r="34" spans="1:4" ht="28.8">
      <c r="A34" s="441"/>
      <c r="B34" s="584" t="s">
        <v>588</v>
      </c>
      <c r="C34" s="441"/>
      <c r="D34" s="442"/>
    </row>
    <row r="35" spans="1:4" ht="28.8">
      <c r="A35" s="441"/>
      <c r="B35" s="584" t="s">
        <v>589</v>
      </c>
      <c r="C35" s="441"/>
      <c r="D35" s="442"/>
    </row>
    <row r="36" spans="1:4" ht="28.8">
      <c r="A36" s="441"/>
      <c r="B36" s="584" t="s">
        <v>590</v>
      </c>
      <c r="C36" s="441"/>
      <c r="D36" s="442"/>
    </row>
    <row r="37" spans="1:4" ht="28.8">
      <c r="A37" s="441"/>
      <c r="B37" s="584" t="s">
        <v>916</v>
      </c>
      <c r="C37" s="441"/>
      <c r="D37" s="442"/>
    </row>
    <row r="38" spans="1:4" ht="28.8">
      <c r="A38" s="441"/>
      <c r="B38" s="587" t="s">
        <v>919</v>
      </c>
      <c r="C38" s="441"/>
      <c r="D38" s="442"/>
    </row>
    <row r="39" spans="1:4" ht="29.4" thickBot="1">
      <c r="A39" s="443"/>
      <c r="B39" s="588" t="s">
        <v>920</v>
      </c>
      <c r="C39" s="443"/>
      <c r="D39" s="444"/>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1A6F-59B6-47DC-BFA2-2285F24560B6}">
  <dimension ref="A1:H17"/>
  <sheetViews>
    <sheetView workbookViewId="0">
      <selection activeCell="D6" sqref="D6"/>
    </sheetView>
  </sheetViews>
  <sheetFormatPr defaultColWidth="8.88671875" defaultRowHeight="14.4"/>
  <cols>
    <col min="1" max="1" width="21.21875" style="447" customWidth="1"/>
    <col min="2" max="2" width="24.21875" style="447" customWidth="1"/>
    <col min="3" max="3" width="29.109375" style="447" customWidth="1"/>
    <col min="4" max="4" width="30.77734375" style="447" customWidth="1"/>
    <col min="5" max="5" width="23.33203125" style="447" customWidth="1"/>
    <col min="6" max="6" width="32.5546875" style="447" customWidth="1"/>
    <col min="7" max="7" width="24.109375" style="447" customWidth="1"/>
    <col min="8" max="16384" width="8.88671875" style="447"/>
  </cols>
  <sheetData>
    <row r="1" spans="1:8" ht="14.4" customHeight="1">
      <c r="A1" s="589" t="s">
        <v>922</v>
      </c>
      <c r="B1" s="590"/>
      <c r="C1" s="590"/>
      <c r="D1" s="590"/>
      <c r="E1" s="590"/>
      <c r="F1" s="590"/>
      <c r="G1" s="590"/>
      <c r="H1" s="591"/>
    </row>
    <row r="2" spans="1:8" ht="28.8">
      <c r="A2" s="445" t="s">
        <v>53</v>
      </c>
      <c r="B2" s="445" t="s">
        <v>591</v>
      </c>
      <c r="C2" s="445" t="s">
        <v>592</v>
      </c>
      <c r="D2" s="446" t="s">
        <v>593</v>
      </c>
      <c r="E2" s="445" t="s">
        <v>594</v>
      </c>
      <c r="F2" s="445" t="s">
        <v>56</v>
      </c>
      <c r="G2" s="446" t="s">
        <v>595</v>
      </c>
      <c r="H2" s="446" t="s">
        <v>596</v>
      </c>
    </row>
    <row r="3" spans="1:8" ht="43.2">
      <c r="A3" s="448" t="s">
        <v>90</v>
      </c>
      <c r="B3" s="448"/>
      <c r="C3" s="448"/>
      <c r="D3" s="448"/>
      <c r="E3" s="448"/>
      <c r="F3" s="448"/>
      <c r="G3" s="449" t="s">
        <v>597</v>
      </c>
      <c r="H3" s="449"/>
    </row>
    <row r="4" spans="1:8" ht="28.8">
      <c r="A4" s="448"/>
      <c r="B4" s="448"/>
      <c r="C4" s="449"/>
      <c r="D4" s="448" t="s">
        <v>91</v>
      </c>
      <c r="E4" s="448"/>
      <c r="F4" s="448"/>
      <c r="G4" s="449" t="s">
        <v>598</v>
      </c>
      <c r="H4" s="450" t="s">
        <v>288</v>
      </c>
    </row>
    <row r="5" spans="1:8">
      <c r="A5" s="451"/>
      <c r="B5" s="451"/>
      <c r="C5" s="452"/>
      <c r="D5" s="451" t="s">
        <v>599</v>
      </c>
      <c r="E5" s="451"/>
      <c r="F5" s="451"/>
      <c r="G5" s="452"/>
      <c r="H5" s="450"/>
    </row>
    <row r="6" spans="1:8" ht="57.6">
      <c r="A6" s="448"/>
      <c r="B6" s="448"/>
      <c r="C6" s="448"/>
      <c r="D6" s="448"/>
      <c r="E6" s="448"/>
      <c r="F6" s="448" t="s">
        <v>600</v>
      </c>
      <c r="G6" s="449"/>
      <c r="H6" s="450"/>
    </row>
    <row r="7" spans="1:8">
      <c r="A7" s="451"/>
      <c r="B7" s="451"/>
      <c r="C7" s="451"/>
      <c r="D7" s="451"/>
      <c r="E7" s="451"/>
      <c r="F7" s="451" t="s">
        <v>601</v>
      </c>
      <c r="G7" s="452"/>
      <c r="H7" s="450"/>
    </row>
    <row r="8" spans="1:8" ht="72">
      <c r="A8" s="448"/>
      <c r="B8" s="448"/>
      <c r="C8" s="448"/>
      <c r="D8" s="448" t="s">
        <v>602</v>
      </c>
      <c r="E8" s="448"/>
      <c r="F8" s="448"/>
      <c r="G8" s="449"/>
      <c r="H8" s="450"/>
    </row>
    <row r="9" spans="1:8" ht="28.8">
      <c r="A9" s="451"/>
      <c r="B9" s="451"/>
      <c r="C9" s="451"/>
      <c r="D9" s="451" t="s">
        <v>603</v>
      </c>
      <c r="E9" s="451"/>
      <c r="F9" s="451"/>
      <c r="G9" s="452"/>
      <c r="H9" s="450"/>
    </row>
    <row r="10" spans="1:8" ht="43.2">
      <c r="A10" s="448"/>
      <c r="B10" s="448"/>
      <c r="C10" s="448" t="s">
        <v>93</v>
      </c>
      <c r="D10" s="448"/>
      <c r="E10" s="448"/>
      <c r="F10" s="448"/>
      <c r="G10" s="449" t="s">
        <v>604</v>
      </c>
      <c r="H10" s="450"/>
    </row>
    <row r="11" spans="1:8" ht="72">
      <c r="A11" s="448"/>
      <c r="B11" s="448"/>
      <c r="C11" s="448" t="s">
        <v>605</v>
      </c>
      <c r="D11" s="448"/>
      <c r="E11" s="448"/>
      <c r="F11" s="448"/>
      <c r="G11" s="449"/>
      <c r="H11" s="450"/>
    </row>
    <row r="12" spans="1:8" ht="28.8">
      <c r="A12" s="451"/>
      <c r="B12" s="451"/>
      <c r="C12" s="451" t="s">
        <v>606</v>
      </c>
      <c r="D12" s="451"/>
      <c r="E12" s="452"/>
      <c r="F12" s="451"/>
      <c r="G12" s="452"/>
      <c r="H12" s="452"/>
    </row>
    <row r="13" spans="1:8" ht="43.2">
      <c r="A13" s="448"/>
      <c r="B13" s="448" t="s">
        <v>95</v>
      </c>
      <c r="C13" s="448"/>
      <c r="D13" s="448"/>
      <c r="E13" s="449"/>
      <c r="F13" s="448"/>
      <c r="G13" s="449" t="s">
        <v>607</v>
      </c>
      <c r="H13" s="449"/>
    </row>
    <row r="14" spans="1:8" ht="57.6">
      <c r="A14" s="448" t="s">
        <v>608</v>
      </c>
      <c r="B14" s="448"/>
      <c r="C14" s="448"/>
      <c r="D14" s="448"/>
      <c r="E14" s="449"/>
      <c r="F14" s="448"/>
      <c r="G14" s="449"/>
      <c r="H14" s="449"/>
    </row>
    <row r="15" spans="1:8" ht="28.8">
      <c r="A15" s="451" t="s">
        <v>609</v>
      </c>
      <c r="B15" s="451"/>
      <c r="C15" s="451"/>
      <c r="D15" s="451"/>
      <c r="E15" s="452"/>
      <c r="F15" s="451"/>
      <c r="G15" s="452"/>
      <c r="H15" s="452"/>
    </row>
    <row r="16" spans="1:8" ht="43.2">
      <c r="A16" s="448"/>
      <c r="B16" s="448"/>
      <c r="C16" s="449"/>
      <c r="D16" s="448"/>
      <c r="E16" s="448" t="s">
        <v>96</v>
      </c>
      <c r="F16" s="448"/>
      <c r="G16" s="449" t="s">
        <v>610</v>
      </c>
      <c r="H16" s="449"/>
    </row>
    <row r="17" spans="1:8" ht="28.8">
      <c r="A17" s="448"/>
      <c r="B17" s="448" t="s">
        <v>97</v>
      </c>
      <c r="C17" s="448"/>
      <c r="D17" s="448"/>
      <c r="E17" s="449"/>
      <c r="F17" s="448"/>
      <c r="G17" s="449"/>
      <c r="H17" s="449"/>
    </row>
  </sheetData>
  <mergeCells count="2">
    <mergeCell ref="A1:H1"/>
    <mergeCell ref="H4:H1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90CA-54A1-4CBB-87FF-FC15A3A16B86}">
  <dimension ref="A1:H20"/>
  <sheetViews>
    <sheetView workbookViewId="0">
      <selection activeCell="C9" sqref="C9"/>
    </sheetView>
  </sheetViews>
  <sheetFormatPr defaultColWidth="8.88671875" defaultRowHeight="14.4"/>
  <cols>
    <col min="1" max="1" width="28.6640625" style="447" customWidth="1"/>
    <col min="2" max="2" width="29.21875" style="447" customWidth="1"/>
    <col min="3" max="3" width="28.44140625" style="447" customWidth="1"/>
    <col min="4" max="4" width="29.88671875" style="447" customWidth="1"/>
    <col min="5" max="5" width="17.88671875" style="447" customWidth="1"/>
    <col min="6" max="6" width="29.88671875" style="447" customWidth="1"/>
    <col min="7" max="7" width="24.109375" style="447" customWidth="1"/>
    <col min="8" max="16384" width="8.88671875" style="447"/>
  </cols>
  <sheetData>
    <row r="1" spans="1:8">
      <c r="A1" s="593" t="s">
        <v>923</v>
      </c>
      <c r="B1" s="593"/>
      <c r="C1" s="593"/>
      <c r="D1" s="593"/>
      <c r="E1" s="593"/>
      <c r="F1" s="593"/>
      <c r="G1" s="593"/>
      <c r="H1" s="594"/>
    </row>
    <row r="2" spans="1:8" ht="28.8">
      <c r="A2" s="445" t="s">
        <v>53</v>
      </c>
      <c r="B2" s="445" t="s">
        <v>591</v>
      </c>
      <c r="C2" s="445" t="s">
        <v>592</v>
      </c>
      <c r="D2" s="446" t="s">
        <v>593</v>
      </c>
      <c r="E2" s="445" t="s">
        <v>594</v>
      </c>
      <c r="F2" s="445" t="s">
        <v>56</v>
      </c>
      <c r="G2" s="446" t="s">
        <v>595</v>
      </c>
      <c r="H2" s="446" t="s">
        <v>596</v>
      </c>
    </row>
    <row r="3" spans="1:8" ht="28.8">
      <c r="A3" s="448" t="s">
        <v>57</v>
      </c>
      <c r="B3" s="448"/>
      <c r="C3" s="448"/>
      <c r="D3" s="448"/>
      <c r="E3" s="448"/>
      <c r="F3" s="448"/>
      <c r="G3" s="449" t="s">
        <v>597</v>
      </c>
      <c r="H3" s="449"/>
    </row>
    <row r="4" spans="1:8">
      <c r="A4" s="451" t="s">
        <v>611</v>
      </c>
      <c r="B4" s="451"/>
      <c r="C4" s="451"/>
      <c r="D4" s="451"/>
      <c r="E4" s="451"/>
      <c r="F4" s="451"/>
      <c r="G4" s="452"/>
      <c r="H4" s="452"/>
    </row>
    <row r="5" spans="1:8" ht="28.8">
      <c r="A5" s="448"/>
      <c r="B5" s="448" t="s">
        <v>58</v>
      </c>
      <c r="C5" s="449"/>
      <c r="D5" s="448"/>
      <c r="E5" s="448"/>
      <c r="F5" s="448"/>
      <c r="G5" s="449"/>
      <c r="H5" s="449"/>
    </row>
    <row r="6" spans="1:8" ht="28.8">
      <c r="A6" s="448"/>
      <c r="B6" s="448" t="s">
        <v>59</v>
      </c>
      <c r="C6" s="449"/>
      <c r="D6" s="448"/>
      <c r="E6" s="448"/>
      <c r="F6" s="448"/>
      <c r="G6" s="449"/>
      <c r="H6" s="449"/>
    </row>
    <row r="7" spans="1:8" ht="28.8">
      <c r="A7" s="448"/>
      <c r="B7" s="448" t="s">
        <v>60</v>
      </c>
      <c r="C7" s="449"/>
      <c r="D7" s="448"/>
      <c r="E7" s="448"/>
      <c r="F7" s="448"/>
      <c r="G7" s="449"/>
      <c r="H7" s="449"/>
    </row>
    <row r="8" spans="1:8" ht="57.6">
      <c r="A8" s="448" t="s">
        <v>612</v>
      </c>
      <c r="B8" s="448"/>
      <c r="C8" s="448"/>
      <c r="D8" s="448"/>
      <c r="E8" s="449"/>
      <c r="F8" s="448"/>
      <c r="G8" s="449"/>
      <c r="H8" s="449"/>
    </row>
    <row r="9" spans="1:8" ht="28.8">
      <c r="A9" s="451" t="s">
        <v>613</v>
      </c>
      <c r="B9" s="451"/>
      <c r="C9" s="451"/>
      <c r="D9" s="451"/>
      <c r="E9" s="452"/>
      <c r="F9" s="451"/>
      <c r="G9" s="452"/>
      <c r="H9" s="452"/>
    </row>
    <row r="10" spans="1:8" ht="43.2">
      <c r="A10" s="448"/>
      <c r="B10" s="448"/>
      <c r="C10" s="449"/>
      <c r="D10" s="448" t="s">
        <v>62</v>
      </c>
      <c r="E10" s="449"/>
      <c r="F10" s="448"/>
      <c r="G10" s="449" t="s">
        <v>614</v>
      </c>
      <c r="H10" s="450" t="s">
        <v>288</v>
      </c>
    </row>
    <row r="11" spans="1:8" ht="28.8">
      <c r="A11" s="451"/>
      <c r="B11" s="451"/>
      <c r="C11" s="452"/>
      <c r="D11" s="451" t="s">
        <v>615</v>
      </c>
      <c r="E11" s="452"/>
      <c r="F11" s="451"/>
      <c r="G11" s="452"/>
      <c r="H11" s="450"/>
    </row>
    <row r="12" spans="1:8" ht="57.6">
      <c r="A12" s="448"/>
      <c r="B12" s="448"/>
      <c r="C12" s="449"/>
      <c r="D12" s="448"/>
      <c r="E12" s="449"/>
      <c r="F12" s="448" t="s">
        <v>616</v>
      </c>
      <c r="G12" s="449"/>
      <c r="H12" s="450"/>
    </row>
    <row r="13" spans="1:8" ht="28.8">
      <c r="A13" s="451"/>
      <c r="B13" s="451"/>
      <c r="C13" s="452"/>
      <c r="D13" s="451"/>
      <c r="E13" s="452"/>
      <c r="F13" s="451" t="s">
        <v>617</v>
      </c>
      <c r="G13" s="452"/>
      <c r="H13" s="450"/>
    </row>
    <row r="14" spans="1:8" ht="43.2">
      <c r="A14" s="448"/>
      <c r="B14" s="448"/>
      <c r="C14" s="449"/>
      <c r="D14" s="448" t="s">
        <v>64</v>
      </c>
      <c r="E14" s="449"/>
      <c r="F14" s="448"/>
      <c r="G14" s="449"/>
      <c r="H14" s="450"/>
    </row>
    <row r="15" spans="1:8" ht="28.8">
      <c r="A15" s="451"/>
      <c r="B15" s="451"/>
      <c r="C15" s="452"/>
      <c r="D15" s="451" t="s">
        <v>615</v>
      </c>
      <c r="E15" s="452"/>
      <c r="F15" s="451"/>
      <c r="G15" s="452"/>
      <c r="H15" s="450"/>
    </row>
    <row r="16" spans="1:8" ht="57.6">
      <c r="A16" s="448"/>
      <c r="B16" s="448"/>
      <c r="C16" s="448"/>
      <c r="D16" s="448"/>
      <c r="E16" s="449"/>
      <c r="F16" s="448" t="s">
        <v>618</v>
      </c>
      <c r="G16" s="449"/>
      <c r="H16" s="450"/>
    </row>
    <row r="17" spans="1:8" ht="28.8">
      <c r="A17" s="451"/>
      <c r="B17" s="451"/>
      <c r="C17" s="451"/>
      <c r="D17" s="451"/>
      <c r="E17" s="452"/>
      <c r="F17" s="451" t="s">
        <v>619</v>
      </c>
      <c r="G17" s="452"/>
      <c r="H17" s="450"/>
    </row>
    <row r="18" spans="1:8" ht="57.6">
      <c r="A18" s="448"/>
      <c r="B18" s="448"/>
      <c r="C18" s="448" t="s">
        <v>66</v>
      </c>
      <c r="D18" s="448"/>
      <c r="E18" s="449"/>
      <c r="F18" s="448"/>
      <c r="G18" s="449" t="s">
        <v>604</v>
      </c>
      <c r="H18" s="450"/>
    </row>
    <row r="19" spans="1:8" ht="57.6">
      <c r="A19" s="448"/>
      <c r="B19" s="449"/>
      <c r="C19" s="448"/>
      <c r="D19" s="448"/>
      <c r="E19" s="448" t="s">
        <v>96</v>
      </c>
      <c r="F19" s="448"/>
      <c r="G19" s="449" t="s">
        <v>607</v>
      </c>
      <c r="H19" s="449"/>
    </row>
    <row r="20" spans="1:8" ht="28.8">
      <c r="A20" s="449"/>
      <c r="B20" s="448" t="s">
        <v>67</v>
      </c>
      <c r="C20" s="449"/>
      <c r="D20" s="449"/>
      <c r="E20" s="449"/>
      <c r="F20" s="449"/>
      <c r="G20" s="449" t="s">
        <v>610</v>
      </c>
      <c r="H20" s="449"/>
    </row>
  </sheetData>
  <mergeCells count="2">
    <mergeCell ref="H10:H18"/>
    <mergeCell ref="A1:H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5696-553B-4A7A-8C4C-E5D8766BFC5C}">
  <dimension ref="A1:W23"/>
  <sheetViews>
    <sheetView workbookViewId="0">
      <selection activeCell="L26" sqref="L26"/>
    </sheetView>
  </sheetViews>
  <sheetFormatPr defaultColWidth="8.77734375" defaultRowHeight="14.4"/>
  <cols>
    <col min="1" max="1" width="13.44140625" style="454" customWidth="1"/>
    <col min="2" max="2" width="13.77734375" style="454" customWidth="1"/>
    <col min="3" max="4" width="16" style="454" customWidth="1"/>
    <col min="5" max="5" width="1.109375" style="454" customWidth="1"/>
    <col min="6" max="8" width="8.77734375" style="454" customWidth="1"/>
    <col min="9" max="9" width="1" style="454" customWidth="1"/>
    <col min="10" max="10" width="16.33203125" style="454" customWidth="1"/>
    <col min="11" max="11" width="16" style="454" customWidth="1"/>
    <col min="12" max="12" width="16.44140625" style="454" customWidth="1"/>
    <col min="13" max="13" width="1.109375" style="454" customWidth="1"/>
    <col min="14" max="14" width="19.33203125" style="454" customWidth="1"/>
    <col min="15" max="15" width="16.109375" style="454" customWidth="1"/>
    <col min="16" max="16" width="0.77734375" style="454" customWidth="1"/>
    <col min="17" max="17" width="8.77734375" style="454"/>
    <col min="18" max="18" width="46" style="454" customWidth="1"/>
    <col min="19" max="20" width="8.77734375" style="454"/>
    <col min="21" max="21" width="39.6640625" style="454" customWidth="1"/>
    <col min="22" max="16384" width="8.77734375" style="454"/>
  </cols>
  <sheetData>
    <row r="1" spans="1:23" ht="22.2">
      <c r="A1" s="453" t="s">
        <v>620</v>
      </c>
    </row>
    <row r="2" spans="1:23" ht="15" thickBot="1"/>
    <row r="3" spans="1:23" ht="58.2" thickBot="1">
      <c r="A3" s="455" t="s">
        <v>593</v>
      </c>
      <c r="B3" s="456" t="s">
        <v>621</v>
      </c>
      <c r="C3" s="457" t="s">
        <v>533</v>
      </c>
      <c r="D3" s="458" t="s">
        <v>534</v>
      </c>
      <c r="E3" s="459"/>
      <c r="F3" s="460" t="s">
        <v>622</v>
      </c>
      <c r="G3" s="461" t="s">
        <v>623</v>
      </c>
      <c r="H3" s="462" t="s">
        <v>624</v>
      </c>
      <c r="I3" s="459"/>
      <c r="J3" s="462" t="s">
        <v>625</v>
      </c>
      <c r="K3" s="462" t="s">
        <v>626</v>
      </c>
      <c r="L3" s="462" t="s">
        <v>627</v>
      </c>
      <c r="M3" s="459"/>
      <c r="N3" s="462" t="s">
        <v>628</v>
      </c>
      <c r="O3" s="462" t="s">
        <v>629</v>
      </c>
      <c r="P3" s="459"/>
      <c r="Q3" s="462" t="s">
        <v>630</v>
      </c>
      <c r="R3" s="463" t="s">
        <v>631</v>
      </c>
    </row>
    <row r="4" spans="1:23" ht="15" thickTop="1">
      <c r="A4" s="464"/>
      <c r="B4" s="454" t="s">
        <v>632</v>
      </c>
      <c r="E4" s="465"/>
      <c r="F4" s="466"/>
      <c r="G4" s="467" t="s">
        <v>633</v>
      </c>
      <c r="I4" s="465"/>
      <c r="J4" s="468">
        <v>45949</v>
      </c>
      <c r="K4" s="454" t="s">
        <v>634</v>
      </c>
      <c r="L4" s="454" t="s">
        <v>635</v>
      </c>
      <c r="M4" s="465"/>
      <c r="O4" s="468">
        <v>46021</v>
      </c>
      <c r="P4" s="465"/>
      <c r="Q4" s="454">
        <v>1</v>
      </c>
      <c r="R4" s="469" t="s">
        <v>636</v>
      </c>
      <c r="V4" s="466"/>
      <c r="W4" s="467"/>
    </row>
    <row r="5" spans="1:23">
      <c r="A5" s="464"/>
      <c r="B5" s="454" t="s">
        <v>632</v>
      </c>
      <c r="E5" s="465"/>
      <c r="F5" s="466">
        <v>5</v>
      </c>
      <c r="G5" s="467" t="s">
        <v>637</v>
      </c>
      <c r="I5" s="465"/>
      <c r="J5" s="468">
        <v>45949</v>
      </c>
      <c r="K5" s="454" t="s">
        <v>634</v>
      </c>
      <c r="L5" s="454" t="s">
        <v>635</v>
      </c>
      <c r="M5" s="465"/>
      <c r="O5" s="468">
        <v>46021</v>
      </c>
      <c r="P5" s="465"/>
      <c r="Q5" s="454">
        <v>2</v>
      </c>
      <c r="R5" s="469" t="s">
        <v>638</v>
      </c>
      <c r="V5" s="466"/>
      <c r="W5" s="467"/>
    </row>
    <row r="6" spans="1:23">
      <c r="A6" s="464"/>
      <c r="B6" s="454" t="s">
        <v>632</v>
      </c>
      <c r="E6" s="465"/>
      <c r="F6" s="466"/>
      <c r="G6" s="467" t="s">
        <v>633</v>
      </c>
      <c r="I6" s="465"/>
      <c r="J6" s="468">
        <v>45949</v>
      </c>
      <c r="K6" s="454" t="s">
        <v>634</v>
      </c>
      <c r="L6" s="454" t="s">
        <v>635</v>
      </c>
      <c r="M6" s="465"/>
      <c r="O6" s="468">
        <v>46021</v>
      </c>
      <c r="P6" s="465"/>
      <c r="Q6" s="454">
        <v>3</v>
      </c>
      <c r="R6" s="469" t="s">
        <v>639</v>
      </c>
      <c r="V6" s="466"/>
      <c r="W6" s="467"/>
    </row>
    <row r="7" spans="1:23">
      <c r="A7" s="464"/>
      <c r="C7" s="454" t="s">
        <v>640</v>
      </c>
      <c r="E7" s="465"/>
      <c r="F7" s="466">
        <v>500</v>
      </c>
      <c r="G7" s="467" t="s">
        <v>641</v>
      </c>
      <c r="I7" s="465"/>
      <c r="J7" s="468">
        <v>45949</v>
      </c>
      <c r="K7" s="454" t="s">
        <v>642</v>
      </c>
      <c r="L7" s="454" t="s">
        <v>635</v>
      </c>
      <c r="M7" s="465"/>
      <c r="O7" s="468">
        <v>46021</v>
      </c>
      <c r="P7" s="465"/>
      <c r="Q7" s="454">
        <v>4</v>
      </c>
      <c r="R7" s="469" t="s">
        <v>643</v>
      </c>
      <c r="V7" s="466"/>
      <c r="W7" s="467"/>
    </row>
    <row r="8" spans="1:23">
      <c r="A8" s="464"/>
      <c r="C8" s="454" t="s">
        <v>640</v>
      </c>
      <c r="E8" s="465"/>
      <c r="F8" s="466">
        <v>50</v>
      </c>
      <c r="G8" s="467" t="s">
        <v>644</v>
      </c>
      <c r="H8" s="467"/>
      <c r="I8" s="465"/>
      <c r="J8" s="468">
        <v>45949</v>
      </c>
      <c r="K8" s="454" t="s">
        <v>642</v>
      </c>
      <c r="L8" s="454" t="s">
        <v>635</v>
      </c>
      <c r="M8" s="465"/>
      <c r="N8" s="468"/>
      <c r="O8" s="468">
        <v>46021</v>
      </c>
      <c r="P8" s="465"/>
      <c r="Q8" s="454">
        <v>5</v>
      </c>
      <c r="R8" s="469" t="s">
        <v>645</v>
      </c>
      <c r="V8" s="466"/>
      <c r="W8" s="467"/>
    </row>
    <row r="9" spans="1:23">
      <c r="A9" s="464"/>
      <c r="C9" s="454" t="s">
        <v>640</v>
      </c>
      <c r="E9" s="465"/>
      <c r="F9" s="466">
        <v>20</v>
      </c>
      <c r="G9" s="467" t="s">
        <v>492</v>
      </c>
      <c r="H9" s="467"/>
      <c r="I9" s="465"/>
      <c r="J9" s="468">
        <v>45949</v>
      </c>
      <c r="K9" s="454" t="s">
        <v>646</v>
      </c>
      <c r="L9" s="454" t="s">
        <v>635</v>
      </c>
      <c r="M9" s="465"/>
      <c r="N9" s="468">
        <v>46001</v>
      </c>
      <c r="O9" s="468">
        <v>46021</v>
      </c>
      <c r="P9" s="465"/>
      <c r="Q9" s="454">
        <v>6</v>
      </c>
      <c r="R9" s="469" t="s">
        <v>647</v>
      </c>
      <c r="W9" s="467"/>
    </row>
    <row r="10" spans="1:23">
      <c r="A10" s="464"/>
      <c r="C10" s="454" t="s">
        <v>640</v>
      </c>
      <c r="E10" s="465"/>
      <c r="F10" s="466">
        <v>500</v>
      </c>
      <c r="G10" s="467" t="s">
        <v>648</v>
      </c>
      <c r="H10" s="467"/>
      <c r="I10" s="465"/>
      <c r="J10" s="468">
        <v>45949</v>
      </c>
      <c r="K10" s="454" t="s">
        <v>646</v>
      </c>
      <c r="L10" s="454" t="s">
        <v>635</v>
      </c>
      <c r="M10" s="465"/>
      <c r="N10" s="466" t="s">
        <v>649</v>
      </c>
      <c r="O10" s="468">
        <v>46021</v>
      </c>
      <c r="P10" s="465"/>
      <c r="Q10" s="454">
        <v>7</v>
      </c>
      <c r="R10" s="469" t="s">
        <v>650</v>
      </c>
      <c r="V10" s="466"/>
      <c r="W10" s="467"/>
    </row>
    <row r="11" spans="1:23">
      <c r="A11" s="464"/>
      <c r="C11" s="454" t="s">
        <v>640</v>
      </c>
      <c r="E11" s="465"/>
      <c r="F11" s="466">
        <v>100</v>
      </c>
      <c r="G11" s="467" t="s">
        <v>648</v>
      </c>
      <c r="H11" s="467"/>
      <c r="I11" s="465"/>
      <c r="J11" s="468">
        <v>45949</v>
      </c>
      <c r="K11" s="454" t="s">
        <v>646</v>
      </c>
      <c r="L11" s="454" t="s">
        <v>635</v>
      </c>
      <c r="M11" s="465"/>
      <c r="N11" s="468"/>
      <c r="O11" s="468">
        <v>46021</v>
      </c>
      <c r="P11" s="465"/>
      <c r="Q11" s="454">
        <v>8</v>
      </c>
      <c r="R11" s="469" t="s">
        <v>651</v>
      </c>
      <c r="V11" s="466"/>
      <c r="W11" s="467"/>
    </row>
    <row r="12" spans="1:23">
      <c r="A12" s="464"/>
      <c r="C12" s="454" t="s">
        <v>640</v>
      </c>
      <c r="E12" s="465"/>
      <c r="F12" s="466">
        <v>70</v>
      </c>
      <c r="G12" s="467" t="s">
        <v>644</v>
      </c>
      <c r="H12" s="467"/>
      <c r="I12" s="465"/>
      <c r="J12" s="468">
        <v>45949</v>
      </c>
      <c r="K12" s="454" t="s">
        <v>652</v>
      </c>
      <c r="L12" s="454" t="s">
        <v>635</v>
      </c>
      <c r="M12" s="465"/>
      <c r="N12" s="468"/>
      <c r="O12" s="468">
        <v>46021</v>
      </c>
      <c r="P12" s="465"/>
      <c r="Q12" s="454">
        <v>9</v>
      </c>
      <c r="R12" s="469" t="s">
        <v>653</v>
      </c>
    </row>
    <row r="13" spans="1:23">
      <c r="A13" s="464"/>
      <c r="E13" s="465"/>
      <c r="F13" s="454">
        <v>1</v>
      </c>
      <c r="G13" s="467" t="s">
        <v>490</v>
      </c>
      <c r="H13" s="467"/>
      <c r="I13" s="465"/>
      <c r="J13" s="468">
        <v>45949</v>
      </c>
      <c r="K13" s="454" t="s">
        <v>652</v>
      </c>
      <c r="L13" s="454" t="s">
        <v>635</v>
      </c>
      <c r="M13" s="465"/>
      <c r="O13" s="468">
        <v>46021</v>
      </c>
      <c r="P13" s="465"/>
      <c r="Q13" s="454">
        <v>10</v>
      </c>
      <c r="R13" s="470" t="s">
        <v>654</v>
      </c>
      <c r="V13" s="466"/>
      <c r="W13" s="467"/>
    </row>
    <row r="14" spans="1:23">
      <c r="A14" s="464"/>
      <c r="B14" s="454" t="s">
        <v>632</v>
      </c>
      <c r="E14" s="465"/>
      <c r="F14" s="466">
        <v>15</v>
      </c>
      <c r="G14" s="467" t="s">
        <v>655</v>
      </c>
      <c r="H14" s="467"/>
      <c r="I14" s="465"/>
      <c r="J14" s="468">
        <v>45949</v>
      </c>
      <c r="K14" s="454" t="s">
        <v>656</v>
      </c>
      <c r="L14" s="454" t="s">
        <v>635</v>
      </c>
      <c r="M14" s="465"/>
      <c r="N14" s="468"/>
      <c r="O14" s="468">
        <v>46021</v>
      </c>
      <c r="P14" s="465"/>
      <c r="Q14" s="454">
        <v>11</v>
      </c>
      <c r="R14" s="469" t="s">
        <v>657</v>
      </c>
      <c r="V14" s="466"/>
      <c r="W14" s="467"/>
    </row>
    <row r="15" spans="1:23">
      <c r="A15" s="464"/>
      <c r="B15" s="454" t="s">
        <v>632</v>
      </c>
      <c r="E15" s="465"/>
      <c r="F15" s="466">
        <v>1</v>
      </c>
      <c r="G15" s="467" t="s">
        <v>658</v>
      </c>
      <c r="H15" s="467"/>
      <c r="I15" s="465"/>
      <c r="J15" s="468">
        <v>45949</v>
      </c>
      <c r="K15" s="454" t="s">
        <v>656</v>
      </c>
      <c r="L15" s="454" t="s">
        <v>635</v>
      </c>
      <c r="M15" s="465"/>
      <c r="O15" s="468">
        <v>46021</v>
      </c>
      <c r="P15" s="465"/>
      <c r="Q15" s="454">
        <v>12</v>
      </c>
      <c r="R15" s="469" t="s">
        <v>659</v>
      </c>
      <c r="V15" s="466"/>
      <c r="W15" s="467"/>
    </row>
    <row r="16" spans="1:23">
      <c r="A16" s="464"/>
      <c r="B16" s="454" t="s">
        <v>632</v>
      </c>
      <c r="E16" s="465"/>
      <c r="F16" s="466">
        <v>30</v>
      </c>
      <c r="G16" s="467" t="s">
        <v>655</v>
      </c>
      <c r="H16" s="467"/>
      <c r="I16" s="465"/>
      <c r="J16" s="468">
        <v>45949</v>
      </c>
      <c r="K16" s="454" t="s">
        <v>656</v>
      </c>
      <c r="L16" s="454" t="s">
        <v>635</v>
      </c>
      <c r="M16" s="465"/>
      <c r="O16" s="468">
        <v>46021</v>
      </c>
      <c r="P16" s="465"/>
      <c r="Q16" s="454">
        <v>13</v>
      </c>
      <c r="R16" s="469" t="s">
        <v>660</v>
      </c>
      <c r="V16" s="466"/>
      <c r="W16" s="467"/>
    </row>
    <row r="17" spans="1:23">
      <c r="A17" s="464"/>
      <c r="B17" s="454" t="s">
        <v>632</v>
      </c>
      <c r="E17" s="465"/>
      <c r="F17" s="466">
        <v>3</v>
      </c>
      <c r="G17" s="467" t="s">
        <v>661</v>
      </c>
      <c r="H17" s="467"/>
      <c r="I17" s="465"/>
      <c r="J17" s="468">
        <v>45949</v>
      </c>
      <c r="K17" s="454" t="s">
        <v>662</v>
      </c>
      <c r="L17" s="454" t="s">
        <v>635</v>
      </c>
      <c r="M17" s="465"/>
      <c r="O17" s="468">
        <v>46021</v>
      </c>
      <c r="P17" s="465"/>
      <c r="Q17" s="454">
        <v>14</v>
      </c>
      <c r="R17" s="469" t="s">
        <v>663</v>
      </c>
      <c r="V17" s="466"/>
      <c r="W17" s="467"/>
    </row>
    <row r="18" spans="1:23">
      <c r="A18" s="464"/>
      <c r="B18" s="454" t="s">
        <v>632</v>
      </c>
      <c r="E18" s="465"/>
      <c r="F18" s="466">
        <v>10</v>
      </c>
      <c r="G18" s="467" t="s">
        <v>664</v>
      </c>
      <c r="I18" s="465"/>
      <c r="J18" s="468">
        <v>45949</v>
      </c>
      <c r="K18" s="454" t="s">
        <v>662</v>
      </c>
      <c r="L18" s="454" t="s">
        <v>635</v>
      </c>
      <c r="M18" s="465"/>
      <c r="O18" s="468">
        <v>46021</v>
      </c>
      <c r="P18" s="465"/>
      <c r="Q18" s="454">
        <v>15</v>
      </c>
      <c r="R18" s="469" t="s">
        <v>665</v>
      </c>
    </row>
    <row r="19" spans="1:23">
      <c r="A19" s="464"/>
      <c r="E19" s="465"/>
      <c r="F19" s="471"/>
      <c r="G19" s="454" t="s">
        <v>666</v>
      </c>
      <c r="I19" s="465"/>
      <c r="J19" s="468">
        <v>45949</v>
      </c>
      <c r="K19" s="454" t="s">
        <v>662</v>
      </c>
      <c r="L19" s="454" t="s">
        <v>635</v>
      </c>
      <c r="M19" s="465"/>
      <c r="O19" s="468">
        <v>46021</v>
      </c>
      <c r="P19" s="465"/>
      <c r="Q19" s="454">
        <v>16</v>
      </c>
      <c r="R19" s="470" t="s">
        <v>667</v>
      </c>
    </row>
    <row r="20" spans="1:23">
      <c r="A20" s="464"/>
      <c r="E20" s="465"/>
      <c r="F20" s="454">
        <v>10</v>
      </c>
      <c r="I20" s="465"/>
      <c r="J20" s="468">
        <v>45949</v>
      </c>
      <c r="K20" s="454" t="s">
        <v>652</v>
      </c>
      <c r="L20" s="454" t="s">
        <v>635</v>
      </c>
      <c r="M20" s="465"/>
      <c r="O20" s="468">
        <v>46021</v>
      </c>
      <c r="P20" s="465"/>
      <c r="Q20" s="454">
        <v>17</v>
      </c>
      <c r="R20" s="470" t="s">
        <v>668</v>
      </c>
    </row>
    <row r="21" spans="1:23">
      <c r="A21" s="464"/>
      <c r="C21" s="454" t="s">
        <v>669</v>
      </c>
      <c r="E21" s="465"/>
      <c r="F21" s="472">
        <v>0.1</v>
      </c>
      <c r="I21" s="465"/>
      <c r="J21" s="468">
        <v>45955</v>
      </c>
      <c r="K21" s="454" t="s">
        <v>652</v>
      </c>
      <c r="L21" s="454" t="s">
        <v>635</v>
      </c>
      <c r="M21" s="465"/>
      <c r="O21" s="468">
        <v>46021</v>
      </c>
      <c r="P21" s="465"/>
      <c r="Q21" s="454">
        <v>18</v>
      </c>
      <c r="R21" s="469" t="s">
        <v>670</v>
      </c>
    </row>
    <row r="22" spans="1:23" ht="15" thickBot="1">
      <c r="A22" s="473"/>
      <c r="B22" s="474"/>
      <c r="C22" s="474"/>
      <c r="D22" s="474"/>
      <c r="E22" s="475"/>
      <c r="F22" s="474">
        <v>8</v>
      </c>
      <c r="G22" s="474" t="s">
        <v>490</v>
      </c>
      <c r="H22" s="474"/>
      <c r="I22" s="475"/>
      <c r="J22" s="476">
        <v>45955</v>
      </c>
      <c r="K22" s="474" t="s">
        <v>652</v>
      </c>
      <c r="L22" s="474" t="s">
        <v>635</v>
      </c>
      <c r="M22" s="475"/>
      <c r="N22" s="474"/>
      <c r="O22" s="476">
        <v>46021</v>
      </c>
      <c r="P22" s="475"/>
      <c r="Q22" s="474">
        <v>19</v>
      </c>
      <c r="R22" s="477" t="s">
        <v>671</v>
      </c>
    </row>
    <row r="23" spans="1:23" ht="15.75" customHeight="1">
      <c r="A23" s="478" t="s">
        <v>672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2850F-EE52-4598-AA36-B14EE1D22799}">
  <dimension ref="A1:G5"/>
  <sheetViews>
    <sheetView workbookViewId="0">
      <selection activeCell="E13" sqref="E13"/>
    </sheetView>
  </sheetViews>
  <sheetFormatPr defaultColWidth="8.88671875" defaultRowHeight="14.4"/>
  <cols>
    <col min="1" max="1" width="8.88671875" style="447"/>
    <col min="2" max="2" width="27.33203125" style="447" customWidth="1"/>
    <col min="3" max="3" width="20" style="447" customWidth="1"/>
    <col min="4" max="4" width="23.33203125" style="447" customWidth="1"/>
    <col min="5" max="5" width="21.77734375" style="447" customWidth="1"/>
    <col min="6" max="6" width="15.21875" style="447" customWidth="1"/>
    <col min="7" max="16384" width="8.88671875" style="447"/>
  </cols>
  <sheetData>
    <row r="1" spans="1:7" ht="28.8">
      <c r="A1" s="449" t="s">
        <v>673</v>
      </c>
      <c r="B1" s="449" t="s">
        <v>674</v>
      </c>
      <c r="C1" s="449" t="s">
        <v>675</v>
      </c>
      <c r="D1" s="449" t="s">
        <v>676</v>
      </c>
      <c r="E1" s="449" t="s">
        <v>677</v>
      </c>
      <c r="F1" s="447" t="s">
        <v>678</v>
      </c>
    </row>
    <row r="2" spans="1:7" ht="72">
      <c r="A2" s="449" t="s">
        <v>679</v>
      </c>
      <c r="B2" s="449" t="s">
        <v>680</v>
      </c>
      <c r="C2" s="449" t="s">
        <v>681</v>
      </c>
      <c r="D2" s="449" t="s">
        <v>682</v>
      </c>
      <c r="E2" s="449" t="s">
        <v>683</v>
      </c>
      <c r="F2" s="479" t="s">
        <v>684</v>
      </c>
      <c r="G2" s="479"/>
    </row>
    <row r="3" spans="1:7" ht="72">
      <c r="A3" s="449" t="s">
        <v>685</v>
      </c>
      <c r="B3" s="449" t="s">
        <v>686</v>
      </c>
      <c r="C3" s="449" t="s">
        <v>687</v>
      </c>
      <c r="D3" s="449" t="s">
        <v>688</v>
      </c>
      <c r="E3" s="449" t="s">
        <v>689</v>
      </c>
      <c r="F3" s="479" t="s">
        <v>690</v>
      </c>
      <c r="G3" s="480"/>
    </row>
    <row r="4" spans="1:7" ht="72">
      <c r="A4" s="449" t="s">
        <v>691</v>
      </c>
      <c r="B4" s="449" t="s">
        <v>692</v>
      </c>
      <c r="C4" s="449" t="s">
        <v>681</v>
      </c>
      <c r="D4" s="449" t="s">
        <v>693</v>
      </c>
      <c r="E4" s="449" t="s">
        <v>694</v>
      </c>
      <c r="F4" s="479" t="s">
        <v>695</v>
      </c>
      <c r="G4" s="479"/>
    </row>
    <row r="5" spans="1:7" ht="72">
      <c r="A5" s="449" t="s">
        <v>696</v>
      </c>
      <c r="B5" s="449" t="s">
        <v>697</v>
      </c>
      <c r="C5" s="449" t="s">
        <v>698</v>
      </c>
      <c r="D5" s="449" t="s">
        <v>682</v>
      </c>
      <c r="E5" s="449" t="s">
        <v>699</v>
      </c>
      <c r="F5" s="479" t="s">
        <v>690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E623-7E5A-4440-A519-453230B3DB35}">
  <dimension ref="A1:J6"/>
  <sheetViews>
    <sheetView workbookViewId="0">
      <pane ySplit="1" topLeftCell="A2" activePane="bottomLeft" state="frozen"/>
      <selection pane="bottomLeft" activeCell="A3" sqref="A3"/>
    </sheetView>
  </sheetViews>
  <sheetFormatPr defaultColWidth="8.88671875" defaultRowHeight="14.4"/>
  <cols>
    <col min="1" max="1" width="8.88671875" style="447"/>
    <col min="2" max="2" width="32.6640625" style="447" customWidth="1"/>
    <col min="3" max="3" width="24.33203125" style="447" customWidth="1"/>
    <col min="4" max="4" width="8.88671875" style="447"/>
    <col min="5" max="5" width="31.21875" style="447" customWidth="1"/>
    <col min="6" max="6" width="8.88671875" style="447"/>
    <col min="7" max="7" width="26.33203125" style="447" customWidth="1"/>
    <col min="8" max="8" width="29.6640625" style="447" customWidth="1"/>
    <col min="9" max="9" width="25.33203125" style="447" customWidth="1"/>
    <col min="10" max="16384" width="8.88671875" style="447"/>
  </cols>
  <sheetData>
    <row r="1" spans="1:10" ht="57.6">
      <c r="A1" s="449" t="s">
        <v>700</v>
      </c>
      <c r="B1" s="449" t="s">
        <v>701</v>
      </c>
      <c r="C1" s="449" t="s">
        <v>702</v>
      </c>
      <c r="D1" s="449" t="s">
        <v>703</v>
      </c>
      <c r="E1" s="449" t="s">
        <v>704</v>
      </c>
      <c r="F1" s="449" t="s">
        <v>705</v>
      </c>
      <c r="G1" s="449" t="s">
        <v>706</v>
      </c>
      <c r="H1" s="449" t="s">
        <v>676</v>
      </c>
      <c r="I1" s="449" t="s">
        <v>677</v>
      </c>
      <c r="J1" s="447" t="s">
        <v>678</v>
      </c>
    </row>
    <row r="2" spans="1:10" ht="43.2">
      <c r="A2" s="481" t="s">
        <v>522</v>
      </c>
      <c r="B2" s="482" t="s">
        <v>518</v>
      </c>
      <c r="C2" s="449" t="s">
        <v>707</v>
      </c>
      <c r="D2" s="449" t="s">
        <v>708</v>
      </c>
      <c r="E2" s="449" t="s">
        <v>709</v>
      </c>
      <c r="F2" s="449" t="s">
        <v>710</v>
      </c>
      <c r="G2" s="449" t="s">
        <v>711</v>
      </c>
      <c r="H2" s="449" t="s">
        <v>712</v>
      </c>
      <c r="I2" s="449" t="s">
        <v>713</v>
      </c>
    </row>
    <row r="3" spans="1:10" ht="72">
      <c r="A3" s="481" t="s">
        <v>103</v>
      </c>
      <c r="B3" s="482" t="s">
        <v>528</v>
      </c>
      <c r="C3" s="449" t="s">
        <v>714</v>
      </c>
      <c r="D3" s="449" t="s">
        <v>715</v>
      </c>
      <c r="E3" s="449" t="s">
        <v>716</v>
      </c>
      <c r="F3" s="449" t="s">
        <v>717</v>
      </c>
      <c r="G3" s="449" t="s">
        <v>711</v>
      </c>
      <c r="H3" s="449" t="s">
        <v>718</v>
      </c>
      <c r="I3" s="449" t="s">
        <v>719</v>
      </c>
    </row>
    <row r="4" spans="1:10" ht="57.6">
      <c r="A4" s="481" t="s">
        <v>524</v>
      </c>
      <c r="B4" s="482" t="s">
        <v>519</v>
      </c>
      <c r="C4" s="449" t="s">
        <v>720</v>
      </c>
      <c r="D4" s="449" t="s">
        <v>721</v>
      </c>
      <c r="E4" s="449" t="s">
        <v>722</v>
      </c>
      <c r="F4" s="449" t="s">
        <v>723</v>
      </c>
      <c r="G4" s="449" t="s">
        <v>724</v>
      </c>
      <c r="H4" s="449" t="s">
        <v>725</v>
      </c>
      <c r="I4" s="449" t="s">
        <v>726</v>
      </c>
      <c r="J4" s="447" t="s">
        <v>727</v>
      </c>
    </row>
    <row r="5" spans="1:10" ht="43.2">
      <c r="A5" s="481" t="s">
        <v>108</v>
      </c>
      <c r="B5" s="483" t="s">
        <v>527</v>
      </c>
      <c r="C5" s="449" t="s">
        <v>728</v>
      </c>
      <c r="D5" s="449" t="s">
        <v>729</v>
      </c>
      <c r="E5" s="449" t="s">
        <v>730</v>
      </c>
      <c r="F5" s="449" t="s">
        <v>465</v>
      </c>
      <c r="G5" s="449" t="s">
        <v>731</v>
      </c>
      <c r="H5" s="449" t="s">
        <v>732</v>
      </c>
      <c r="I5" s="449" t="s">
        <v>733</v>
      </c>
      <c r="J5" s="447" t="s">
        <v>727</v>
      </c>
    </row>
    <row r="6" spans="1:10" ht="57.6">
      <c r="A6" s="481" t="s">
        <v>526</v>
      </c>
      <c r="B6" s="482" t="s">
        <v>521</v>
      </c>
      <c r="C6" s="449" t="s">
        <v>734</v>
      </c>
      <c r="D6" s="449" t="s">
        <v>735</v>
      </c>
      <c r="E6" s="449" t="s">
        <v>736</v>
      </c>
      <c r="F6" s="449" t="s">
        <v>723</v>
      </c>
      <c r="G6" s="449" t="s">
        <v>737</v>
      </c>
      <c r="H6" s="449" t="s">
        <v>738</v>
      </c>
      <c r="I6" s="449" t="s">
        <v>739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AD69-1BF0-4A30-B89C-259D22DF63A4}">
  <dimension ref="A1:X10"/>
  <sheetViews>
    <sheetView workbookViewId="0">
      <pane xSplit="1" topLeftCell="B1" activePane="topRight" state="frozen"/>
      <selection pane="topRight" activeCell="B1" sqref="B1"/>
    </sheetView>
  </sheetViews>
  <sheetFormatPr defaultColWidth="3.88671875" defaultRowHeight="14.4"/>
  <cols>
    <col min="1" max="1" width="8.6640625" style="489" customWidth="1"/>
    <col min="2" max="16364" width="3.88671875" style="489" customWidth="1"/>
    <col min="16365" max="16384" width="3.88671875" style="489"/>
  </cols>
  <sheetData>
    <row r="1" spans="1:24" s="487" customFormat="1" ht="32.4">
      <c r="A1" s="484"/>
      <c r="B1" s="485" t="s">
        <v>103</v>
      </c>
      <c r="C1" s="485" t="s">
        <v>105</v>
      </c>
      <c r="D1" s="485" t="s">
        <v>108</v>
      </c>
      <c r="E1" s="485" t="s">
        <v>110</v>
      </c>
      <c r="F1" s="485" t="s">
        <v>113</v>
      </c>
      <c r="G1" s="485" t="s">
        <v>116</v>
      </c>
      <c r="H1" s="485" t="s">
        <v>119</v>
      </c>
      <c r="I1" s="485" t="s">
        <v>125</v>
      </c>
      <c r="J1" s="485" t="s">
        <v>134</v>
      </c>
      <c r="K1" s="485" t="s">
        <v>137</v>
      </c>
      <c r="L1" s="485" t="s">
        <v>140</v>
      </c>
      <c r="M1" s="485" t="s">
        <v>143</v>
      </c>
      <c r="N1" s="485" t="s">
        <v>146</v>
      </c>
      <c r="O1" s="485" t="s">
        <v>149</v>
      </c>
      <c r="P1" s="485" t="s">
        <v>164</v>
      </c>
      <c r="Q1" s="485" t="s">
        <v>166</v>
      </c>
      <c r="R1" s="485" t="s">
        <v>168</v>
      </c>
      <c r="S1" s="485" t="s">
        <v>522</v>
      </c>
      <c r="T1" s="485" t="s">
        <v>523</v>
      </c>
      <c r="U1" s="485" t="s">
        <v>524</v>
      </c>
      <c r="V1" s="485" t="s">
        <v>525</v>
      </c>
      <c r="W1" s="485" t="s">
        <v>526</v>
      </c>
      <c r="X1" s="486" t="s">
        <v>529</v>
      </c>
    </row>
    <row r="2" spans="1:24">
      <c r="A2" s="488" t="s">
        <v>679</v>
      </c>
      <c r="E2" s="489" t="s">
        <v>740</v>
      </c>
      <c r="F2" s="489" t="s">
        <v>740</v>
      </c>
      <c r="G2" s="489" t="s">
        <v>740</v>
      </c>
      <c r="H2" s="489" t="s">
        <v>740</v>
      </c>
      <c r="N2" s="489" t="s">
        <v>740</v>
      </c>
      <c r="X2" s="490"/>
    </row>
    <row r="3" spans="1:24">
      <c r="A3" s="488" t="s">
        <v>685</v>
      </c>
      <c r="J3" s="489" t="s">
        <v>740</v>
      </c>
      <c r="K3" s="489" t="s">
        <v>740</v>
      </c>
      <c r="L3" s="489" t="s">
        <v>740</v>
      </c>
      <c r="M3" s="489" t="s">
        <v>740</v>
      </c>
      <c r="O3" s="489" t="s">
        <v>740</v>
      </c>
      <c r="X3" s="490"/>
    </row>
    <row r="4" spans="1:24">
      <c r="A4" s="488" t="s">
        <v>691</v>
      </c>
      <c r="I4" s="489" t="s">
        <v>740</v>
      </c>
      <c r="P4" s="489" t="s">
        <v>740</v>
      </c>
      <c r="Q4" s="489" t="s">
        <v>740</v>
      </c>
      <c r="R4" s="489" t="s">
        <v>740</v>
      </c>
      <c r="X4" s="490"/>
    </row>
    <row r="5" spans="1:24">
      <c r="A5" s="488" t="s">
        <v>741</v>
      </c>
      <c r="X5" s="490" t="s">
        <v>740</v>
      </c>
    </row>
    <row r="6" spans="1:24">
      <c r="A6" s="488" t="s">
        <v>708</v>
      </c>
      <c r="S6" s="489" t="s">
        <v>740</v>
      </c>
      <c r="X6" s="490"/>
    </row>
    <row r="7" spans="1:24">
      <c r="A7" s="488" t="s">
        <v>715</v>
      </c>
      <c r="B7" s="489" t="s">
        <v>740</v>
      </c>
      <c r="X7" s="490"/>
    </row>
    <row r="8" spans="1:24">
      <c r="A8" s="488" t="s">
        <v>721</v>
      </c>
      <c r="U8" s="489" t="s">
        <v>740</v>
      </c>
      <c r="X8" s="490"/>
    </row>
    <row r="9" spans="1:24">
      <c r="A9" s="488" t="s">
        <v>729</v>
      </c>
      <c r="D9" s="489" t="s">
        <v>740</v>
      </c>
      <c r="X9" s="490"/>
    </row>
    <row r="10" spans="1:24" ht="15" thickBot="1">
      <c r="A10" s="491" t="s">
        <v>735</v>
      </c>
      <c r="B10" s="492"/>
      <c r="C10" s="492"/>
      <c r="D10" s="492"/>
      <c r="E10" s="492"/>
      <c r="F10" s="492"/>
      <c r="G10" s="492"/>
      <c r="H10" s="492"/>
      <c r="I10" s="492"/>
      <c r="J10" s="492"/>
      <c r="K10" s="492"/>
      <c r="L10" s="492"/>
      <c r="M10" s="492"/>
      <c r="N10" s="492"/>
      <c r="O10" s="492"/>
      <c r="P10" s="492"/>
      <c r="Q10" s="492"/>
      <c r="R10" s="492"/>
      <c r="S10" s="492"/>
      <c r="T10" s="492"/>
      <c r="U10" s="492"/>
      <c r="V10" s="492"/>
      <c r="W10" s="492" t="s">
        <v>740</v>
      </c>
      <c r="X10" s="493"/>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FE2A-AF83-433F-86D3-76739AFA0505}">
  <dimension ref="A1:F13"/>
  <sheetViews>
    <sheetView workbookViewId="0">
      <selection activeCell="M4" sqref="M4"/>
    </sheetView>
  </sheetViews>
  <sheetFormatPr defaultColWidth="8.88671875" defaultRowHeight="14.4"/>
  <cols>
    <col min="1" max="1" width="8.88671875" style="512"/>
    <col min="2" max="2" width="45.33203125" style="512" customWidth="1"/>
    <col min="3" max="3" width="11.88671875" style="512" customWidth="1"/>
    <col min="4" max="4" width="8.88671875" style="513"/>
    <col min="5" max="5" width="41.21875" style="513" customWidth="1"/>
    <col min="6" max="16384" width="8.88671875" style="513"/>
  </cols>
  <sheetData>
    <row r="1" spans="1:6">
      <c r="A1" s="520" t="s">
        <v>766</v>
      </c>
      <c r="B1" s="521"/>
      <c r="C1" s="517"/>
      <c r="D1" s="526" t="s">
        <v>767</v>
      </c>
      <c r="E1" s="527"/>
    </row>
    <row r="2" spans="1:6" ht="72" customHeight="1">
      <c r="A2" s="522">
        <v>5</v>
      </c>
      <c r="B2" s="523" t="s">
        <v>743</v>
      </c>
      <c r="C2" s="518"/>
      <c r="D2" s="528">
        <v>5</v>
      </c>
      <c r="E2" s="529" t="s">
        <v>748</v>
      </c>
    </row>
    <row r="3" spans="1:6" ht="72" customHeight="1">
      <c r="A3" s="522">
        <v>4</v>
      </c>
      <c r="B3" s="523" t="s">
        <v>744</v>
      </c>
      <c r="C3" s="518"/>
      <c r="D3" s="528">
        <v>4</v>
      </c>
      <c r="E3" s="529" t="s">
        <v>749</v>
      </c>
    </row>
    <row r="4" spans="1:6" ht="72" customHeight="1">
      <c r="A4" s="522">
        <v>3</v>
      </c>
      <c r="B4" s="523" t="s">
        <v>745</v>
      </c>
      <c r="C4" s="518"/>
      <c r="D4" s="528">
        <v>3</v>
      </c>
      <c r="E4" s="529" t="s">
        <v>750</v>
      </c>
    </row>
    <row r="5" spans="1:6" ht="72" customHeight="1">
      <c r="A5" s="522">
        <v>2</v>
      </c>
      <c r="B5" s="523" t="s">
        <v>746</v>
      </c>
      <c r="C5" s="518"/>
      <c r="D5" s="528">
        <v>2</v>
      </c>
      <c r="E5" s="529" t="s">
        <v>751</v>
      </c>
    </row>
    <row r="6" spans="1:6" ht="72" customHeight="1" thickBot="1">
      <c r="A6" s="524">
        <v>1</v>
      </c>
      <c r="B6" s="525" t="s">
        <v>747</v>
      </c>
      <c r="C6" s="518"/>
      <c r="D6" s="530">
        <v>1</v>
      </c>
      <c r="E6" s="531" t="s">
        <v>752</v>
      </c>
    </row>
    <row r="8" spans="1:6">
      <c r="D8" s="515"/>
      <c r="E8" s="515"/>
      <c r="F8" s="515"/>
    </row>
    <row r="9" spans="1:6" ht="37.200000000000003" customHeight="1">
      <c r="D9" s="516"/>
      <c r="E9" s="516"/>
      <c r="F9" s="516"/>
    </row>
    <row r="10" spans="1:6" ht="29.4" customHeight="1">
      <c r="D10" s="516"/>
      <c r="E10" s="516"/>
      <c r="F10" s="516"/>
    </row>
    <row r="11" spans="1:6" ht="35.4" customHeight="1">
      <c r="D11" s="516"/>
      <c r="E11" s="516"/>
      <c r="F11" s="516"/>
    </row>
    <row r="12" spans="1:6" ht="33.6" customHeight="1">
      <c r="D12" s="516"/>
      <c r="E12" s="516"/>
      <c r="F12" s="516"/>
    </row>
    <row r="13" spans="1:6" ht="28.2" customHeight="1">
      <c r="D13" s="516"/>
      <c r="E13" s="516"/>
      <c r="F13" s="516"/>
    </row>
  </sheetData>
  <mergeCells count="2">
    <mergeCell ref="A1:B1"/>
    <mergeCell ref="D1:E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24263-AF0B-4393-952E-5DF9EA1B1F81}">
  <dimension ref="A1:L11"/>
  <sheetViews>
    <sheetView showGridLines="0" workbookViewId="0">
      <selection activeCell="F26" sqref="F26"/>
    </sheetView>
  </sheetViews>
  <sheetFormatPr defaultColWidth="8.88671875" defaultRowHeight="14.4"/>
  <cols>
    <col min="1" max="1" width="8.88671875" style="494"/>
    <col min="2" max="2" width="45.33203125" style="494" customWidth="1"/>
    <col min="3" max="16384" width="8.88671875" style="489"/>
  </cols>
  <sheetData>
    <row r="1" spans="1:12" ht="15" customHeight="1"/>
    <row r="3" spans="1:12">
      <c r="B3" s="510" t="s">
        <v>753</v>
      </c>
      <c r="C3" s="510"/>
      <c r="D3" s="510"/>
      <c r="E3" s="510"/>
      <c r="F3" s="510"/>
      <c r="G3" s="510"/>
      <c r="H3" s="510"/>
      <c r="J3" s="511" t="s">
        <v>754</v>
      </c>
      <c r="K3" s="511"/>
      <c r="L3" s="511"/>
    </row>
    <row r="4" spans="1:12" ht="15.6">
      <c r="B4" s="621" t="s">
        <v>755</v>
      </c>
      <c r="C4" s="498"/>
      <c r="D4" s="498"/>
      <c r="E4" s="498"/>
      <c r="F4" s="498"/>
      <c r="G4" s="498"/>
    </row>
    <row r="5" spans="1:12" ht="15">
      <c r="B5" s="496">
        <v>5</v>
      </c>
      <c r="C5" s="500">
        <v>5</v>
      </c>
      <c r="D5" s="501">
        <v>10</v>
      </c>
      <c r="E5" s="501">
        <v>15</v>
      </c>
      <c r="F5" s="502">
        <v>20</v>
      </c>
      <c r="G5" s="502">
        <v>25</v>
      </c>
      <c r="J5" s="502" t="s">
        <v>756</v>
      </c>
      <c r="K5" s="498" t="s">
        <v>757</v>
      </c>
    </row>
    <row r="6" spans="1:12" ht="15">
      <c r="B6" s="496">
        <v>4</v>
      </c>
      <c r="C6" s="503">
        <v>4</v>
      </c>
      <c r="D6" s="500">
        <v>8</v>
      </c>
      <c r="E6" s="501">
        <v>12</v>
      </c>
      <c r="F6" s="502">
        <v>16</v>
      </c>
      <c r="G6" s="502">
        <v>20</v>
      </c>
      <c r="J6" s="504" t="s">
        <v>758</v>
      </c>
      <c r="K6" s="498" t="s">
        <v>759</v>
      </c>
    </row>
    <row r="7" spans="1:12" ht="15">
      <c r="B7" s="496">
        <v>3</v>
      </c>
      <c r="C7" s="503">
        <v>3</v>
      </c>
      <c r="D7" s="500">
        <v>6</v>
      </c>
      <c r="E7" s="500">
        <v>9</v>
      </c>
      <c r="F7" s="501">
        <v>12</v>
      </c>
      <c r="G7" s="501">
        <v>15</v>
      </c>
      <c r="J7" s="505" t="s">
        <v>760</v>
      </c>
      <c r="K7" s="498" t="s">
        <v>761</v>
      </c>
    </row>
    <row r="8" spans="1:12" ht="15">
      <c r="B8" s="496">
        <v>2</v>
      </c>
      <c r="C8" s="506">
        <v>2</v>
      </c>
      <c r="D8" s="503">
        <v>4</v>
      </c>
      <c r="E8" s="500">
        <v>6</v>
      </c>
      <c r="F8" s="500">
        <v>8</v>
      </c>
      <c r="G8" s="501">
        <v>10</v>
      </c>
      <c r="J8" s="507" t="s">
        <v>762</v>
      </c>
      <c r="K8" s="498" t="s">
        <v>763</v>
      </c>
    </row>
    <row r="9" spans="1:12" ht="15">
      <c r="B9" s="496">
        <v>1</v>
      </c>
      <c r="C9" s="506">
        <v>1</v>
      </c>
      <c r="D9" s="506">
        <v>2</v>
      </c>
      <c r="E9" s="503">
        <v>3</v>
      </c>
      <c r="F9" s="503">
        <v>4</v>
      </c>
      <c r="G9" s="500">
        <v>5</v>
      </c>
      <c r="J9" s="508" t="s">
        <v>764</v>
      </c>
      <c r="K9" s="498" t="s">
        <v>765</v>
      </c>
    </row>
    <row r="10" spans="1:12" ht="15.6">
      <c r="B10" s="498"/>
      <c r="C10" s="509">
        <v>1</v>
      </c>
      <c r="D10" s="509">
        <v>2</v>
      </c>
      <c r="E10" s="509">
        <v>3</v>
      </c>
      <c r="F10" s="509">
        <v>4</v>
      </c>
      <c r="G10" s="509">
        <v>5</v>
      </c>
      <c r="H10" s="499" t="s">
        <v>742</v>
      </c>
    </row>
    <row r="11" spans="1:12">
      <c r="A11" s="489"/>
      <c r="B11" s="489"/>
    </row>
  </sheetData>
  <mergeCells count="2">
    <mergeCell ref="B3:H3"/>
    <mergeCell ref="J3:L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2141-CC3A-4E18-B6F5-D37C1DC87D71}">
  <dimension ref="A1:Y28"/>
  <sheetViews>
    <sheetView topLeftCell="A18" zoomScale="86" zoomScaleNormal="70" workbookViewId="0">
      <selection activeCell="N7" sqref="N7"/>
    </sheetView>
  </sheetViews>
  <sheetFormatPr defaultColWidth="8.88671875" defaultRowHeight="14.4"/>
  <cols>
    <col min="1" max="2" width="8.88671875" style="495"/>
    <col min="3" max="3" width="19.33203125" style="495" customWidth="1"/>
    <col min="4" max="4" width="30.6640625" style="495" customWidth="1"/>
    <col min="5" max="5" width="19.6640625" style="495" customWidth="1"/>
    <col min="6" max="8" width="8.88671875" style="495"/>
    <col min="9" max="9" width="10.77734375" style="495" customWidth="1"/>
    <col min="10" max="10" width="8.88671875" style="495"/>
    <col min="11" max="11" width="19.6640625" style="495" customWidth="1"/>
    <col min="12" max="17" width="8.88671875" style="495"/>
    <col min="18" max="18" width="24.6640625" style="495" customWidth="1"/>
    <col min="19" max="16384" width="8.88671875" style="495"/>
  </cols>
  <sheetData>
    <row r="1" spans="1:25" ht="106.2" thickBot="1">
      <c r="A1" s="532" t="s">
        <v>768</v>
      </c>
      <c r="B1" s="533" t="s">
        <v>769</v>
      </c>
      <c r="C1" s="533" t="s">
        <v>770</v>
      </c>
      <c r="D1" s="533" t="s">
        <v>771</v>
      </c>
      <c r="E1" s="533" t="s">
        <v>772</v>
      </c>
      <c r="F1" s="533" t="s">
        <v>773</v>
      </c>
      <c r="G1" s="533" t="s">
        <v>774</v>
      </c>
      <c r="H1" s="533" t="s">
        <v>775</v>
      </c>
      <c r="I1" s="533" t="s">
        <v>776</v>
      </c>
      <c r="J1" s="533"/>
      <c r="K1" s="533" t="s">
        <v>777</v>
      </c>
      <c r="L1" s="533" t="s">
        <v>773</v>
      </c>
      <c r="M1" s="533" t="s">
        <v>778</v>
      </c>
      <c r="N1" s="533" t="s">
        <v>779</v>
      </c>
      <c r="O1" s="533" t="s">
        <v>780</v>
      </c>
      <c r="P1" s="533" t="s">
        <v>781</v>
      </c>
      <c r="Q1" s="533"/>
      <c r="R1" s="533" t="s">
        <v>777</v>
      </c>
      <c r="S1" s="533" t="s">
        <v>773</v>
      </c>
      <c r="T1" s="533" t="s">
        <v>778</v>
      </c>
      <c r="U1" s="533" t="s">
        <v>779</v>
      </c>
      <c r="V1" s="533" t="s">
        <v>780</v>
      </c>
      <c r="W1" s="533" t="s">
        <v>781</v>
      </c>
      <c r="X1" s="533"/>
      <c r="Y1" s="534" t="s">
        <v>782</v>
      </c>
    </row>
    <row r="2" spans="1:25" ht="78">
      <c r="A2" s="535" t="s">
        <v>783</v>
      </c>
      <c r="B2" s="514" t="s">
        <v>592</v>
      </c>
      <c r="C2" s="514" t="s">
        <v>784</v>
      </c>
      <c r="D2" s="514" t="s">
        <v>785</v>
      </c>
      <c r="E2" s="514" t="s">
        <v>786</v>
      </c>
      <c r="F2" s="514">
        <v>5</v>
      </c>
      <c r="G2" s="514">
        <v>3</v>
      </c>
      <c r="H2" s="514">
        <f>F2*G2</f>
        <v>15</v>
      </c>
      <c r="I2" s="514" t="s">
        <v>787</v>
      </c>
      <c r="J2" s="536"/>
      <c r="K2" s="514" t="s">
        <v>788</v>
      </c>
      <c r="L2" s="514">
        <v>2</v>
      </c>
      <c r="M2" s="514">
        <v>1</v>
      </c>
      <c r="N2" s="514">
        <f>L2*M2</f>
        <v>2</v>
      </c>
      <c r="O2" s="514" t="s">
        <v>789</v>
      </c>
      <c r="P2" s="514">
        <v>10</v>
      </c>
      <c r="Q2" s="536"/>
      <c r="R2" s="514"/>
      <c r="S2" s="514"/>
      <c r="T2" s="514"/>
      <c r="U2" s="514"/>
      <c r="V2" s="514"/>
      <c r="W2" s="514"/>
      <c r="X2" s="536"/>
      <c r="Y2" s="519"/>
    </row>
    <row r="3" spans="1:25" ht="62.4">
      <c r="A3" s="537"/>
      <c r="E3" s="514" t="s">
        <v>790</v>
      </c>
      <c r="F3" s="514">
        <v>5</v>
      </c>
      <c r="G3" s="514">
        <v>1</v>
      </c>
      <c r="H3" s="514">
        <f t="shared" ref="H3:H20" si="0">F3*G3</f>
        <v>5</v>
      </c>
      <c r="I3" s="514" t="s">
        <v>791</v>
      </c>
      <c r="J3" s="536"/>
      <c r="K3" s="514"/>
      <c r="L3" s="514"/>
      <c r="M3" s="514"/>
      <c r="N3" s="514"/>
      <c r="O3" s="514"/>
      <c r="P3" s="514"/>
      <c r="Q3" s="536"/>
      <c r="R3" s="514"/>
      <c r="S3" s="514"/>
      <c r="T3" s="514"/>
      <c r="U3" s="514"/>
      <c r="V3" s="514"/>
      <c r="W3" s="514"/>
      <c r="X3" s="536"/>
      <c r="Y3" s="519"/>
    </row>
    <row r="4" spans="1:25" ht="62.4">
      <c r="A4" s="537" t="s">
        <v>792</v>
      </c>
      <c r="C4" s="514" t="s">
        <v>793</v>
      </c>
      <c r="D4" s="514" t="s">
        <v>794</v>
      </c>
      <c r="E4" s="514" t="s">
        <v>795</v>
      </c>
      <c r="F4" s="514">
        <v>2</v>
      </c>
      <c r="G4" s="514">
        <v>5</v>
      </c>
      <c r="H4" s="514">
        <f t="shared" si="0"/>
        <v>10</v>
      </c>
      <c r="I4" s="514" t="s">
        <v>787</v>
      </c>
      <c r="J4" s="536"/>
      <c r="K4" s="514" t="s">
        <v>796</v>
      </c>
      <c r="L4" s="514">
        <v>2</v>
      </c>
      <c r="M4" s="514">
        <v>2</v>
      </c>
      <c r="N4" s="514">
        <f>L4*M4</f>
        <v>4</v>
      </c>
      <c r="O4" s="514" t="s">
        <v>797</v>
      </c>
      <c r="P4" s="514">
        <v>8</v>
      </c>
      <c r="Q4" s="536"/>
      <c r="R4" s="514"/>
      <c r="S4" s="514"/>
      <c r="T4" s="514"/>
      <c r="U4" s="514"/>
      <c r="V4" s="514"/>
      <c r="W4" s="514"/>
      <c r="X4" s="536"/>
      <c r="Y4" s="519"/>
    </row>
    <row r="5" spans="1:25" ht="57.6">
      <c r="A5" s="537"/>
      <c r="E5" s="514" t="s">
        <v>798</v>
      </c>
      <c r="F5" s="514">
        <v>2</v>
      </c>
      <c r="G5" s="514">
        <v>4</v>
      </c>
      <c r="H5" s="514">
        <f t="shared" si="0"/>
        <v>8</v>
      </c>
      <c r="I5" s="514" t="s">
        <v>791</v>
      </c>
      <c r="J5" s="536"/>
      <c r="K5" s="495" t="s">
        <v>799</v>
      </c>
      <c r="L5" s="514">
        <v>1</v>
      </c>
      <c r="M5" s="514">
        <v>2</v>
      </c>
      <c r="N5" s="514">
        <f>L5*M5</f>
        <v>2</v>
      </c>
      <c r="O5" s="514" t="s">
        <v>789</v>
      </c>
      <c r="P5" s="514">
        <v>40</v>
      </c>
      <c r="Q5" s="536"/>
      <c r="R5" s="514"/>
      <c r="S5" s="514"/>
      <c r="T5" s="514"/>
      <c r="U5" s="514"/>
      <c r="V5" s="514"/>
      <c r="W5" s="514"/>
      <c r="X5" s="536"/>
      <c r="Y5" s="519"/>
    </row>
    <row r="6" spans="1:25" ht="62.4">
      <c r="A6" s="537"/>
      <c r="E6" s="514" t="s">
        <v>800</v>
      </c>
      <c r="F6" s="514">
        <v>2</v>
      </c>
      <c r="G6" s="514">
        <v>2</v>
      </c>
      <c r="H6" s="514">
        <f t="shared" si="0"/>
        <v>4</v>
      </c>
      <c r="I6" s="514" t="s">
        <v>797</v>
      </c>
      <c r="J6" s="536"/>
      <c r="K6" s="514"/>
      <c r="L6" s="514"/>
      <c r="M6" s="514"/>
      <c r="N6" s="514"/>
      <c r="O6" s="514"/>
      <c r="P6" s="514"/>
      <c r="Q6" s="536"/>
      <c r="R6" s="514"/>
      <c r="S6" s="514"/>
      <c r="T6" s="514"/>
      <c r="U6" s="514"/>
      <c r="V6" s="514"/>
      <c r="W6" s="514"/>
      <c r="X6" s="536"/>
      <c r="Y6" s="519"/>
    </row>
    <row r="7" spans="1:25" ht="78">
      <c r="A7" s="537" t="s">
        <v>801</v>
      </c>
      <c r="C7" s="495" t="s">
        <v>802</v>
      </c>
      <c r="D7" s="514" t="s">
        <v>803</v>
      </c>
      <c r="E7" s="514" t="s">
        <v>804</v>
      </c>
      <c r="F7" s="514">
        <v>4</v>
      </c>
      <c r="G7" s="514">
        <v>3</v>
      </c>
      <c r="H7" s="514">
        <f t="shared" si="0"/>
        <v>12</v>
      </c>
      <c r="I7" s="514" t="s">
        <v>787</v>
      </c>
      <c r="J7" s="536"/>
      <c r="K7" s="514" t="s">
        <v>1023</v>
      </c>
      <c r="L7" s="514">
        <v>2</v>
      </c>
      <c r="M7" s="514">
        <v>3</v>
      </c>
      <c r="N7" s="514">
        <f>L7*M7</f>
        <v>6</v>
      </c>
      <c r="O7" s="514" t="s">
        <v>791</v>
      </c>
      <c r="P7" s="514">
        <v>6</v>
      </c>
      <c r="Q7" s="536"/>
      <c r="R7" s="514" t="s">
        <v>805</v>
      </c>
      <c r="S7" s="514">
        <v>1</v>
      </c>
      <c r="T7" s="514">
        <v>2</v>
      </c>
      <c r="U7" s="514">
        <f>S7*T7</f>
        <v>2</v>
      </c>
      <c r="V7" s="514" t="s">
        <v>789</v>
      </c>
      <c r="W7" s="514">
        <v>3</v>
      </c>
      <c r="X7" s="536"/>
      <c r="Y7" s="519"/>
    </row>
    <row r="8" spans="1:25" ht="57.6">
      <c r="A8" s="537"/>
      <c r="E8" s="495" t="s">
        <v>806</v>
      </c>
      <c r="F8" s="495">
        <v>4</v>
      </c>
      <c r="G8" s="495">
        <v>1</v>
      </c>
      <c r="H8" s="514">
        <f t="shared" si="0"/>
        <v>4</v>
      </c>
      <c r="I8" s="495" t="s">
        <v>797</v>
      </c>
      <c r="J8" s="536"/>
      <c r="N8" s="514"/>
      <c r="Q8" s="536"/>
      <c r="X8" s="536"/>
      <c r="Y8" s="538"/>
    </row>
    <row r="9" spans="1:25" ht="46.8">
      <c r="A9" s="537" t="s">
        <v>807</v>
      </c>
      <c r="C9" s="514" t="s">
        <v>808</v>
      </c>
      <c r="D9" s="514" t="s">
        <v>809</v>
      </c>
      <c r="E9" s="495" t="s">
        <v>810</v>
      </c>
      <c r="F9" s="495">
        <v>3</v>
      </c>
      <c r="G9" s="495">
        <v>2</v>
      </c>
      <c r="H9" s="514">
        <f t="shared" si="0"/>
        <v>6</v>
      </c>
      <c r="I9" s="495" t="s">
        <v>791</v>
      </c>
      <c r="J9" s="536"/>
      <c r="N9" s="514"/>
      <c r="Q9" s="536"/>
      <c r="X9" s="536"/>
      <c r="Y9" s="538"/>
    </row>
    <row r="10" spans="1:25" ht="57.6">
      <c r="A10" s="537"/>
      <c r="E10" s="495" t="s">
        <v>811</v>
      </c>
      <c r="F10" s="495">
        <v>4</v>
      </c>
      <c r="G10" s="495">
        <v>4</v>
      </c>
      <c r="H10" s="514">
        <v>16</v>
      </c>
      <c r="I10" s="495" t="s">
        <v>812</v>
      </c>
      <c r="J10" s="536"/>
      <c r="K10" s="495" t="s">
        <v>799</v>
      </c>
      <c r="L10" s="495">
        <v>2</v>
      </c>
      <c r="M10" s="495">
        <v>3</v>
      </c>
      <c r="N10" s="514">
        <f>L10*M10</f>
        <v>6</v>
      </c>
      <c r="O10" s="495" t="s">
        <v>791</v>
      </c>
      <c r="P10" s="495">
        <v>40</v>
      </c>
      <c r="Q10" s="536"/>
      <c r="X10" s="536"/>
      <c r="Y10" s="538"/>
    </row>
    <row r="11" spans="1:25" ht="28.8">
      <c r="A11" s="537"/>
      <c r="E11" s="495" t="s">
        <v>813</v>
      </c>
      <c r="F11" s="495">
        <v>3</v>
      </c>
      <c r="G11" s="495">
        <v>2</v>
      </c>
      <c r="H11" s="514">
        <f t="shared" si="0"/>
        <v>6</v>
      </c>
      <c r="I11" s="495" t="s">
        <v>791</v>
      </c>
      <c r="J11" s="536"/>
      <c r="N11" s="514"/>
      <c r="Q11" s="536"/>
      <c r="X11" s="536"/>
      <c r="Y11" s="538"/>
    </row>
    <row r="12" spans="1:25" ht="28.8">
      <c r="A12" s="537" t="s">
        <v>814</v>
      </c>
      <c r="C12" s="495" t="s">
        <v>815</v>
      </c>
      <c r="D12" s="514" t="s">
        <v>816</v>
      </c>
      <c r="E12" s="495" t="s">
        <v>817</v>
      </c>
      <c r="F12" s="495">
        <v>3</v>
      </c>
      <c r="G12" s="495">
        <v>1</v>
      </c>
      <c r="H12" s="514">
        <f t="shared" si="0"/>
        <v>3</v>
      </c>
      <c r="I12" s="495" t="s">
        <v>797</v>
      </c>
      <c r="J12" s="536"/>
      <c r="N12" s="514"/>
      <c r="Q12" s="536"/>
      <c r="X12" s="536"/>
      <c r="Y12" s="538"/>
    </row>
    <row r="13" spans="1:25" ht="43.2">
      <c r="A13" s="537"/>
      <c r="E13" s="495" t="s">
        <v>818</v>
      </c>
      <c r="F13" s="495">
        <v>3</v>
      </c>
      <c r="G13" s="495">
        <v>4</v>
      </c>
      <c r="H13" s="514">
        <f t="shared" si="0"/>
        <v>12</v>
      </c>
      <c r="I13" s="495" t="s">
        <v>787</v>
      </c>
      <c r="J13" s="536"/>
      <c r="K13" s="495" t="s">
        <v>819</v>
      </c>
      <c r="L13" s="495">
        <v>2</v>
      </c>
      <c r="M13" s="495">
        <v>3</v>
      </c>
      <c r="N13" s="514">
        <f>L13*M13</f>
        <v>6</v>
      </c>
      <c r="O13" s="495" t="s">
        <v>791</v>
      </c>
      <c r="P13" s="495">
        <v>15</v>
      </c>
      <c r="Q13" s="536"/>
      <c r="X13" s="536"/>
      <c r="Y13" s="538"/>
    </row>
    <row r="14" spans="1:25" ht="57.6">
      <c r="A14" s="537" t="s">
        <v>820</v>
      </c>
      <c r="B14" s="495" t="s">
        <v>821</v>
      </c>
      <c r="C14" s="495" t="s">
        <v>822</v>
      </c>
      <c r="D14" s="495" t="s">
        <v>823</v>
      </c>
      <c r="E14" s="495" t="s">
        <v>824</v>
      </c>
      <c r="F14" s="495">
        <v>3</v>
      </c>
      <c r="G14" s="495">
        <v>4</v>
      </c>
      <c r="H14" s="514">
        <f t="shared" si="0"/>
        <v>12</v>
      </c>
      <c r="I14" s="495" t="s">
        <v>787</v>
      </c>
      <c r="J14" s="536"/>
      <c r="K14" s="495" t="s">
        <v>825</v>
      </c>
      <c r="L14" s="495">
        <v>2</v>
      </c>
      <c r="M14" s="495">
        <v>3</v>
      </c>
      <c r="N14" s="514">
        <f>L14*M14</f>
        <v>6</v>
      </c>
      <c r="O14" s="495" t="s">
        <v>791</v>
      </c>
      <c r="P14" s="495">
        <v>4</v>
      </c>
      <c r="Q14" s="536"/>
      <c r="R14" s="514" t="s">
        <v>805</v>
      </c>
      <c r="S14" s="495">
        <v>1</v>
      </c>
      <c r="T14" s="495">
        <v>2</v>
      </c>
      <c r="U14" s="514">
        <f>S14*T14</f>
        <v>2</v>
      </c>
      <c r="V14" s="514" t="s">
        <v>789</v>
      </c>
      <c r="W14" s="495">
        <v>3</v>
      </c>
      <c r="X14" s="536"/>
      <c r="Y14" s="538"/>
    </row>
    <row r="15" spans="1:25" ht="28.8">
      <c r="A15" s="537"/>
      <c r="E15" s="495" t="s">
        <v>826</v>
      </c>
      <c r="F15" s="495">
        <v>4</v>
      </c>
      <c r="G15" s="495">
        <v>3</v>
      </c>
      <c r="H15" s="514">
        <f t="shared" si="0"/>
        <v>12</v>
      </c>
      <c r="I15" s="495" t="s">
        <v>787</v>
      </c>
      <c r="J15" s="536"/>
      <c r="K15" s="495" t="s">
        <v>827</v>
      </c>
      <c r="L15" s="495">
        <v>3</v>
      </c>
      <c r="M15" s="495">
        <v>2</v>
      </c>
      <c r="N15" s="514">
        <f>L15*M15</f>
        <v>6</v>
      </c>
      <c r="O15" s="495" t="s">
        <v>791</v>
      </c>
      <c r="P15" s="495">
        <v>12</v>
      </c>
      <c r="Q15" s="536"/>
      <c r="R15" s="495" t="s">
        <v>828</v>
      </c>
      <c r="S15" s="495">
        <v>1</v>
      </c>
      <c r="T15" s="495">
        <v>2</v>
      </c>
      <c r="U15" s="514">
        <f>S15*T15</f>
        <v>2</v>
      </c>
      <c r="V15" s="514" t="s">
        <v>789</v>
      </c>
      <c r="W15" s="495">
        <v>12</v>
      </c>
      <c r="X15" s="536"/>
      <c r="Y15" s="538"/>
    </row>
    <row r="16" spans="1:25" ht="15.6">
      <c r="A16" s="537" t="s">
        <v>829</v>
      </c>
      <c r="C16" s="514" t="s">
        <v>830</v>
      </c>
      <c r="D16" s="495" t="s">
        <v>816</v>
      </c>
      <c r="E16" s="495" t="s">
        <v>831</v>
      </c>
      <c r="F16" s="495">
        <v>1</v>
      </c>
      <c r="G16" s="495">
        <v>5</v>
      </c>
      <c r="H16" s="514">
        <f t="shared" si="0"/>
        <v>5</v>
      </c>
      <c r="I16" s="495" t="s">
        <v>791</v>
      </c>
      <c r="J16" s="536"/>
      <c r="N16" s="514"/>
      <c r="Q16" s="536"/>
      <c r="X16" s="536"/>
      <c r="Y16" s="538"/>
    </row>
    <row r="17" spans="1:25" ht="28.8">
      <c r="A17" s="537"/>
      <c r="E17" s="495" t="s">
        <v>832</v>
      </c>
      <c r="F17" s="495">
        <v>1</v>
      </c>
      <c r="G17" s="495">
        <v>2</v>
      </c>
      <c r="H17" s="514">
        <f t="shared" si="0"/>
        <v>2</v>
      </c>
      <c r="I17" s="495" t="s">
        <v>789</v>
      </c>
      <c r="J17" s="536"/>
      <c r="N17" s="514"/>
      <c r="Q17" s="536"/>
      <c r="X17" s="536"/>
      <c r="Y17" s="538"/>
    </row>
    <row r="18" spans="1:25" ht="28.8">
      <c r="A18" s="537"/>
      <c r="E18" s="495" t="s">
        <v>833</v>
      </c>
      <c r="F18" s="495">
        <v>1</v>
      </c>
      <c r="G18" s="495">
        <v>3</v>
      </c>
      <c r="H18" s="514">
        <f t="shared" si="0"/>
        <v>3</v>
      </c>
      <c r="I18" s="495" t="s">
        <v>797</v>
      </c>
      <c r="J18" s="536"/>
      <c r="N18" s="514"/>
      <c r="Q18" s="536"/>
      <c r="X18" s="536"/>
      <c r="Y18" s="538"/>
    </row>
    <row r="19" spans="1:25" ht="57.6">
      <c r="A19" s="537" t="s">
        <v>834</v>
      </c>
      <c r="C19" s="495" t="s">
        <v>835</v>
      </c>
      <c r="D19" s="495" t="s">
        <v>823</v>
      </c>
      <c r="E19" s="495" t="s">
        <v>836</v>
      </c>
      <c r="F19" s="495">
        <v>4</v>
      </c>
      <c r="G19" s="495">
        <v>3</v>
      </c>
      <c r="H19" s="514">
        <f t="shared" si="0"/>
        <v>12</v>
      </c>
      <c r="I19" s="495" t="s">
        <v>787</v>
      </c>
      <c r="J19" s="536"/>
      <c r="K19" s="495" t="s">
        <v>837</v>
      </c>
      <c r="L19" s="495">
        <v>2</v>
      </c>
      <c r="M19" s="495">
        <v>3</v>
      </c>
      <c r="N19" s="514">
        <f>L19*M19</f>
        <v>6</v>
      </c>
      <c r="O19" s="495" t="s">
        <v>791</v>
      </c>
      <c r="P19" s="495">
        <v>18</v>
      </c>
      <c r="Q19" s="536"/>
      <c r="X19" s="536"/>
      <c r="Y19" s="538"/>
    </row>
    <row r="20" spans="1:25" ht="58.2" thickBot="1">
      <c r="A20" s="539"/>
      <c r="B20" s="540"/>
      <c r="C20" s="541"/>
      <c r="D20" s="541"/>
      <c r="E20" s="541" t="s">
        <v>838</v>
      </c>
      <c r="F20" s="541">
        <v>4</v>
      </c>
      <c r="G20" s="541">
        <v>1</v>
      </c>
      <c r="H20" s="540">
        <f t="shared" si="0"/>
        <v>4</v>
      </c>
      <c r="I20" s="541" t="s">
        <v>797</v>
      </c>
      <c r="J20" s="542"/>
      <c r="K20" s="541"/>
      <c r="L20" s="541"/>
      <c r="M20" s="541"/>
      <c r="N20" s="540"/>
      <c r="O20" s="541"/>
      <c r="P20" s="541"/>
      <c r="Q20" s="542"/>
      <c r="R20" s="541"/>
      <c r="S20" s="541"/>
      <c r="T20" s="541"/>
      <c r="U20" s="541"/>
      <c r="V20" s="541"/>
      <c r="W20" s="541"/>
      <c r="X20" s="542"/>
      <c r="Y20" s="543"/>
    </row>
    <row r="21" spans="1:25" s="545" customFormat="1" ht="15.6">
      <c r="A21" s="544"/>
      <c r="B21" s="544"/>
      <c r="E21" s="546" t="s">
        <v>755</v>
      </c>
      <c r="F21" s="547"/>
      <c r="G21" s="547"/>
      <c r="H21" s="547"/>
      <c r="I21" s="547"/>
      <c r="J21" s="547"/>
      <c r="K21" s="546" t="s">
        <v>755</v>
      </c>
      <c r="L21" s="547"/>
      <c r="M21" s="547"/>
      <c r="N21" s="547"/>
      <c r="O21" s="547"/>
      <c r="P21" s="547"/>
      <c r="R21" s="546" t="s">
        <v>755</v>
      </c>
      <c r="S21" s="547"/>
      <c r="T21" s="547"/>
      <c r="U21" s="547"/>
      <c r="V21" s="547"/>
      <c r="W21" s="547"/>
    </row>
    <row r="22" spans="1:25" ht="15.6">
      <c r="A22" s="514"/>
      <c r="B22" s="514"/>
      <c r="E22" s="548">
        <v>5</v>
      </c>
      <c r="F22" s="549">
        <v>1</v>
      </c>
      <c r="G22" s="550">
        <v>1</v>
      </c>
      <c r="H22" s="550">
        <v>0</v>
      </c>
      <c r="I22" s="551">
        <v>0</v>
      </c>
      <c r="J22" s="551">
        <v>0</v>
      </c>
      <c r="K22" s="548">
        <v>5</v>
      </c>
      <c r="L22" s="549">
        <v>1</v>
      </c>
      <c r="M22" s="550">
        <v>0</v>
      </c>
      <c r="N22" s="550">
        <v>0</v>
      </c>
      <c r="O22" s="551">
        <v>0</v>
      </c>
      <c r="P22" s="551">
        <v>0</v>
      </c>
      <c r="R22" s="548">
        <v>5</v>
      </c>
      <c r="S22" s="549">
        <v>1</v>
      </c>
      <c r="T22" s="550">
        <v>0</v>
      </c>
      <c r="U22" s="550">
        <v>0</v>
      </c>
      <c r="V22" s="551">
        <v>0</v>
      </c>
      <c r="W22" s="551">
        <v>0</v>
      </c>
    </row>
    <row r="23" spans="1:25" ht="15.6">
      <c r="A23" s="514"/>
      <c r="B23" s="514"/>
      <c r="E23" s="548">
        <v>4</v>
      </c>
      <c r="F23" s="552">
        <v>0</v>
      </c>
      <c r="G23" s="549">
        <v>1</v>
      </c>
      <c r="H23" s="550">
        <v>2</v>
      </c>
      <c r="I23" s="551">
        <v>1</v>
      </c>
      <c r="J23" s="551">
        <v>0</v>
      </c>
      <c r="K23" s="548">
        <v>4</v>
      </c>
      <c r="L23" s="552">
        <v>0</v>
      </c>
      <c r="M23" s="549">
        <v>0</v>
      </c>
      <c r="N23" s="550">
        <v>0</v>
      </c>
      <c r="O23" s="551">
        <v>0</v>
      </c>
      <c r="P23" s="551">
        <v>0</v>
      </c>
      <c r="R23" s="548">
        <v>4</v>
      </c>
      <c r="S23" s="552">
        <v>0</v>
      </c>
      <c r="T23" s="549">
        <v>0</v>
      </c>
      <c r="U23" s="550">
        <v>0</v>
      </c>
      <c r="V23" s="551">
        <v>0</v>
      </c>
      <c r="W23" s="551">
        <v>0</v>
      </c>
    </row>
    <row r="24" spans="1:25" ht="15.6">
      <c r="A24" s="514"/>
      <c r="B24" s="514"/>
      <c r="D24" s="514"/>
      <c r="E24" s="548">
        <v>3</v>
      </c>
      <c r="F24" s="552">
        <v>1</v>
      </c>
      <c r="G24" s="549">
        <v>0</v>
      </c>
      <c r="H24" s="549">
        <v>0</v>
      </c>
      <c r="I24" s="550">
        <v>3</v>
      </c>
      <c r="J24" s="550">
        <v>1</v>
      </c>
      <c r="K24" s="548">
        <v>3</v>
      </c>
      <c r="L24" s="552">
        <v>1</v>
      </c>
      <c r="M24" s="549">
        <v>5</v>
      </c>
      <c r="N24" s="549">
        <v>0</v>
      </c>
      <c r="O24" s="550">
        <v>0</v>
      </c>
      <c r="P24" s="550">
        <v>0</v>
      </c>
      <c r="R24" s="548">
        <v>3</v>
      </c>
      <c r="S24" s="552">
        <v>1</v>
      </c>
      <c r="T24" s="549">
        <v>3</v>
      </c>
      <c r="U24" s="549">
        <v>0</v>
      </c>
      <c r="V24" s="550">
        <v>0</v>
      </c>
      <c r="W24" s="550">
        <v>0</v>
      </c>
    </row>
    <row r="25" spans="1:25" ht="15">
      <c r="E25" s="548">
        <v>2</v>
      </c>
      <c r="F25" s="553">
        <v>1</v>
      </c>
      <c r="G25" s="552">
        <v>1</v>
      </c>
      <c r="H25" s="549">
        <v>2</v>
      </c>
      <c r="I25" s="549">
        <v>0</v>
      </c>
      <c r="J25" s="550">
        <v>0</v>
      </c>
      <c r="K25" s="548">
        <v>2</v>
      </c>
      <c r="L25" s="553">
        <v>2</v>
      </c>
      <c r="M25" s="552">
        <v>2</v>
      </c>
      <c r="N25" s="549">
        <v>3</v>
      </c>
      <c r="O25" s="549">
        <v>0</v>
      </c>
      <c r="P25" s="550">
        <v>0</v>
      </c>
      <c r="R25" s="548">
        <v>2</v>
      </c>
      <c r="S25" s="553">
        <v>5</v>
      </c>
      <c r="T25" s="552">
        <v>2</v>
      </c>
      <c r="U25" s="549">
        <v>2</v>
      </c>
      <c r="V25" s="549">
        <v>0</v>
      </c>
      <c r="W25" s="550">
        <v>0</v>
      </c>
    </row>
    <row r="26" spans="1:25" ht="15">
      <c r="E26" s="548">
        <v>1</v>
      </c>
      <c r="F26" s="553">
        <v>0</v>
      </c>
      <c r="G26" s="553">
        <v>0</v>
      </c>
      <c r="H26" s="552">
        <v>1</v>
      </c>
      <c r="I26" s="552">
        <v>2</v>
      </c>
      <c r="J26" s="549">
        <v>1</v>
      </c>
      <c r="K26" s="548">
        <v>1</v>
      </c>
      <c r="L26" s="553">
        <v>0</v>
      </c>
      <c r="M26" s="553">
        <v>1</v>
      </c>
      <c r="N26" s="552">
        <v>1</v>
      </c>
      <c r="O26" s="552">
        <v>2</v>
      </c>
      <c r="P26" s="549">
        <v>1</v>
      </c>
      <c r="R26" s="548">
        <v>1</v>
      </c>
      <c r="S26" s="553">
        <v>0</v>
      </c>
      <c r="T26" s="553">
        <v>1</v>
      </c>
      <c r="U26" s="552">
        <v>1</v>
      </c>
      <c r="V26" s="552">
        <v>2</v>
      </c>
      <c r="W26" s="549">
        <v>1</v>
      </c>
    </row>
    <row r="27" spans="1:25" ht="15">
      <c r="E27" s="497"/>
      <c r="F27" s="554">
        <v>1</v>
      </c>
      <c r="G27" s="554">
        <v>2</v>
      </c>
      <c r="H27" s="554">
        <v>3</v>
      </c>
      <c r="I27" s="554">
        <v>4</v>
      </c>
      <c r="J27" s="554">
        <v>5</v>
      </c>
      <c r="L27" s="554">
        <v>1</v>
      </c>
      <c r="M27" s="554">
        <v>2</v>
      </c>
      <c r="N27" s="554">
        <v>3</v>
      </c>
      <c r="O27" s="554">
        <v>4</v>
      </c>
      <c r="P27" s="554">
        <v>5</v>
      </c>
      <c r="Q27" s="555" t="s">
        <v>742</v>
      </c>
      <c r="S27" s="554">
        <v>1</v>
      </c>
      <c r="T27" s="554">
        <v>2</v>
      </c>
      <c r="U27" s="554">
        <v>3</v>
      </c>
      <c r="V27" s="554">
        <v>4</v>
      </c>
      <c r="W27" s="554">
        <v>5</v>
      </c>
      <c r="X27" s="555" t="s">
        <v>742</v>
      </c>
    </row>
    <row r="28" spans="1:25">
      <c r="H28" s="555" t="s">
        <v>742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02BB-804D-4DFE-8D85-FCA740EB7F27}">
  <dimension ref="A1:W22"/>
  <sheetViews>
    <sheetView showGridLines="0" topLeftCell="B1" workbookViewId="0">
      <selection activeCell="M27" sqref="M27"/>
    </sheetView>
  </sheetViews>
  <sheetFormatPr defaultColWidth="8.88671875" defaultRowHeight="14.4"/>
  <cols>
    <col min="1" max="1" width="8.88671875" style="489"/>
    <col min="2" max="2" width="20.21875" style="489" customWidth="1"/>
    <col min="3" max="3" width="29.5546875" style="489" customWidth="1"/>
    <col min="4" max="16384" width="8.88671875" style="489"/>
  </cols>
  <sheetData>
    <row r="1" spans="1:23" ht="15" thickBot="1"/>
    <row r="2" spans="1:23" ht="15" thickBot="1">
      <c r="A2" s="568" t="s">
        <v>888</v>
      </c>
      <c r="B2" s="567" t="s">
        <v>887</v>
      </c>
      <c r="C2" s="567" t="s">
        <v>886</v>
      </c>
      <c r="D2" s="566" t="s">
        <v>622</v>
      </c>
    </row>
    <row r="3" spans="1:23">
      <c r="A3" s="565">
        <v>1</v>
      </c>
      <c r="B3" s="564" t="s">
        <v>885</v>
      </c>
      <c r="C3" s="564" t="s">
        <v>884</v>
      </c>
      <c r="D3" s="563">
        <f>1-(1-D4)*(1-D5)*(1-D6)</f>
        <v>0.29530881910509732</v>
      </c>
      <c r="P3" s="489">
        <f>1-(1-F5)*(1-P6)*(1-U5)</f>
        <v>0.29530881910509721</v>
      </c>
    </row>
    <row r="4" spans="1:23">
      <c r="A4" s="561">
        <v>1.1000000000000001</v>
      </c>
      <c r="B4" s="560" t="s">
        <v>883</v>
      </c>
      <c r="C4" s="560" t="s">
        <v>882</v>
      </c>
      <c r="D4" s="559">
        <f>1-(1-D8)*(1-D7)</f>
        <v>5.920000000000003E-2</v>
      </c>
    </row>
    <row r="5" spans="1:23">
      <c r="A5" s="561">
        <v>1.2</v>
      </c>
      <c r="B5" s="560" t="s">
        <v>881</v>
      </c>
      <c r="C5" s="560" t="s">
        <v>880</v>
      </c>
      <c r="D5" s="559">
        <f>1-(1-D11)*(1-D10)*(1-D9)</f>
        <v>0.22664771200000022</v>
      </c>
      <c r="F5" s="489">
        <f>1-(1-E10)*(1-I10)</f>
        <v>5.920000000000003E-2</v>
      </c>
      <c r="U5" s="489">
        <f>1-(1-T10)*(1-W10)</f>
        <v>3.1445300000000009E-2</v>
      </c>
    </row>
    <row r="6" spans="1:23">
      <c r="A6" s="561">
        <v>1.3</v>
      </c>
      <c r="B6" s="560" t="s">
        <v>879</v>
      </c>
      <c r="C6" s="560" t="s">
        <v>878</v>
      </c>
      <c r="D6" s="559">
        <f>1-(1-D13)*(1-D12)</f>
        <v>3.1445300000000009E-2</v>
      </c>
      <c r="P6" s="489">
        <f>1-(1-K10)*(1-O10)*(1-Q10)</f>
        <v>0.22664771200000011</v>
      </c>
    </row>
    <row r="7" spans="1:23">
      <c r="A7" s="561" t="s">
        <v>877</v>
      </c>
      <c r="B7" s="560" t="s">
        <v>876</v>
      </c>
      <c r="C7" s="560" t="s">
        <v>875</v>
      </c>
      <c r="D7" s="559">
        <v>0.04</v>
      </c>
    </row>
    <row r="8" spans="1:23">
      <c r="A8" s="561" t="s">
        <v>874</v>
      </c>
      <c r="B8" s="560" t="s">
        <v>873</v>
      </c>
      <c r="C8" s="560" t="s">
        <v>872</v>
      </c>
      <c r="D8" s="559">
        <v>0.02</v>
      </c>
    </row>
    <row r="9" spans="1:23">
      <c r="A9" s="561" t="s">
        <v>871</v>
      </c>
      <c r="B9" s="560" t="s">
        <v>808</v>
      </c>
      <c r="C9" s="560" t="s">
        <v>870</v>
      </c>
      <c r="D9" s="559">
        <f>1-(1-D14)*(1-D15)*(1-D16)</f>
        <v>0.1339840000000001</v>
      </c>
    </row>
    <row r="10" spans="1:23">
      <c r="A10" s="561" t="s">
        <v>869</v>
      </c>
      <c r="B10" s="560" t="s">
        <v>868</v>
      </c>
      <c r="C10" s="560" t="s">
        <v>867</v>
      </c>
      <c r="D10" s="559">
        <v>0.05</v>
      </c>
      <c r="E10" s="489">
        <v>0.04</v>
      </c>
      <c r="I10" s="489">
        <v>0.02</v>
      </c>
      <c r="K10" s="489">
        <f>1-(1-H15)*(1-L15)*(1-O15)</f>
        <v>0.1339840000000001</v>
      </c>
      <c r="O10" s="489">
        <v>0.05</v>
      </c>
      <c r="Q10" s="489">
        <v>0.06</v>
      </c>
      <c r="T10" s="489">
        <f>Q15*U15</f>
        <v>1.4900000000000026E-3</v>
      </c>
      <c r="W10" s="562">
        <v>0.03</v>
      </c>
    </row>
    <row r="11" spans="1:23">
      <c r="A11" s="561" t="s">
        <v>866</v>
      </c>
      <c r="B11" s="560" t="s">
        <v>865</v>
      </c>
      <c r="C11" s="560" t="s">
        <v>864</v>
      </c>
      <c r="D11" s="559">
        <v>0.06</v>
      </c>
    </row>
    <row r="12" spans="1:23">
      <c r="A12" s="561" t="s">
        <v>863</v>
      </c>
      <c r="B12" s="560" t="s">
        <v>862</v>
      </c>
      <c r="C12" s="560" t="s">
        <v>861</v>
      </c>
      <c r="D12" s="559">
        <f>D17*D18</f>
        <v>1.4900000000000026E-3</v>
      </c>
    </row>
    <row r="13" spans="1:23">
      <c r="A13" s="561" t="s">
        <v>860</v>
      </c>
      <c r="B13" s="560" t="s">
        <v>859</v>
      </c>
      <c r="C13" s="560" t="s">
        <v>858</v>
      </c>
      <c r="D13" s="559">
        <v>0.03</v>
      </c>
    </row>
    <row r="14" spans="1:23">
      <c r="A14" s="561" t="s">
        <v>857</v>
      </c>
      <c r="B14" s="560" t="s">
        <v>856</v>
      </c>
      <c r="C14" s="560" t="s">
        <v>855</v>
      </c>
      <c r="D14" s="559">
        <v>7.0000000000000007E-2</v>
      </c>
    </row>
    <row r="15" spans="1:23">
      <c r="A15" s="561" t="s">
        <v>854</v>
      </c>
      <c r="B15" s="560" t="s">
        <v>811</v>
      </c>
      <c r="C15" s="560" t="s">
        <v>853</v>
      </c>
      <c r="D15" s="559">
        <v>0.04</v>
      </c>
      <c r="H15" s="489">
        <v>7.0000000000000007E-2</v>
      </c>
      <c r="L15" s="489">
        <v>0.04</v>
      </c>
      <c r="O15" s="489">
        <v>0.03</v>
      </c>
      <c r="Q15" s="489">
        <v>0.05</v>
      </c>
      <c r="U15" s="489">
        <f>1-(1-R20)*(1-V20)</f>
        <v>2.9800000000000049E-2</v>
      </c>
    </row>
    <row r="16" spans="1:23">
      <c r="A16" s="561" t="s">
        <v>852</v>
      </c>
      <c r="B16" s="560" t="s">
        <v>851</v>
      </c>
      <c r="C16" s="560" t="s">
        <v>850</v>
      </c>
      <c r="D16" s="559">
        <v>0.03</v>
      </c>
    </row>
    <row r="17" spans="1:22">
      <c r="A17" s="561" t="s">
        <v>849</v>
      </c>
      <c r="B17" s="560" t="s">
        <v>848</v>
      </c>
      <c r="C17" s="560" t="s">
        <v>847</v>
      </c>
      <c r="D17" s="559">
        <v>0.05</v>
      </c>
    </row>
    <row r="18" spans="1:22">
      <c r="A18" s="561" t="s">
        <v>846</v>
      </c>
      <c r="B18" s="560" t="s">
        <v>835</v>
      </c>
      <c r="C18" s="560" t="s">
        <v>845</v>
      </c>
      <c r="D18" s="559">
        <f>1-(1-D19)*(1-D20)</f>
        <v>2.9800000000000049E-2</v>
      </c>
    </row>
    <row r="19" spans="1:22">
      <c r="A19" s="561" t="s">
        <v>844</v>
      </c>
      <c r="B19" s="560" t="s">
        <v>836</v>
      </c>
      <c r="C19" s="560" t="s">
        <v>843</v>
      </c>
      <c r="D19" s="559">
        <v>0.01</v>
      </c>
    </row>
    <row r="20" spans="1:22" ht="15" thickBot="1">
      <c r="A20" s="558" t="s">
        <v>842</v>
      </c>
      <c r="B20" s="557" t="s">
        <v>841</v>
      </c>
      <c r="C20" s="557" t="s">
        <v>840</v>
      </c>
      <c r="D20" s="556">
        <v>0.02</v>
      </c>
      <c r="R20" s="489">
        <v>0.01</v>
      </c>
      <c r="V20" s="489">
        <v>0.02</v>
      </c>
    </row>
    <row r="22" spans="1:22">
      <c r="D22" s="489" t="s">
        <v>839</v>
      </c>
    </row>
  </sheetData>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CF85-B39B-4C93-AED8-F953082C8CB2}">
  <dimension ref="A1:W36"/>
  <sheetViews>
    <sheetView showGridLines="0" workbookViewId="0">
      <selection activeCell="R27" sqref="R27"/>
    </sheetView>
  </sheetViews>
  <sheetFormatPr defaultColWidth="8.88671875" defaultRowHeight="14.4"/>
  <cols>
    <col min="1" max="1" width="8.88671875" style="489"/>
    <col min="2" max="2" width="20.21875" style="489" customWidth="1"/>
    <col min="3" max="3" width="29.5546875" style="489" customWidth="1"/>
    <col min="4" max="16384" width="8.88671875" style="489"/>
  </cols>
  <sheetData>
    <row r="1" spans="1:23" ht="15" thickBot="1"/>
    <row r="2" spans="1:23" ht="15" thickBot="1">
      <c r="A2" s="568" t="s">
        <v>888</v>
      </c>
      <c r="B2" s="567" t="s">
        <v>887</v>
      </c>
      <c r="C2" s="567" t="s">
        <v>886</v>
      </c>
      <c r="D2" s="566" t="s">
        <v>622</v>
      </c>
    </row>
    <row r="3" spans="1:23">
      <c r="A3" s="565">
        <v>1</v>
      </c>
      <c r="B3" s="564" t="s">
        <v>885</v>
      </c>
      <c r="C3" s="564" t="s">
        <v>884</v>
      </c>
      <c r="D3" s="563">
        <f>1-(1-D4)*(1-D5)*(1-D6)</f>
        <v>0.24195182556959605</v>
      </c>
      <c r="P3" s="489">
        <f>1-(1-F5)*(1-P6)*(1-U5)</f>
        <v>0.24195182556959605</v>
      </c>
    </row>
    <row r="4" spans="1:23">
      <c r="A4" s="561">
        <v>1.1000000000000001</v>
      </c>
      <c r="B4" s="560" t="s">
        <v>883</v>
      </c>
      <c r="C4" s="560" t="s">
        <v>882</v>
      </c>
      <c r="D4" s="559">
        <f>1-(1-D8)*(1-D7)</f>
        <v>5.920000000000003E-2</v>
      </c>
    </row>
    <row r="5" spans="1:23">
      <c r="A5" s="561">
        <v>1.2</v>
      </c>
      <c r="B5" s="560" t="s">
        <v>881</v>
      </c>
      <c r="C5" s="560" t="s">
        <v>880</v>
      </c>
      <c r="D5" s="559">
        <f>1-(1-D11)*(1-D10)*(1-D9)</f>
        <v>0.16809191600000017</v>
      </c>
      <c r="F5" s="489">
        <f>1-(1-E10)*(1-I10)</f>
        <v>5.920000000000003E-2</v>
      </c>
      <c r="U5" s="489">
        <f>1-(1-T10)*(1-W10)</f>
        <v>3.1445300000000009E-2</v>
      </c>
    </row>
    <row r="6" spans="1:23">
      <c r="A6" s="561">
        <v>1.3</v>
      </c>
      <c r="B6" s="560" t="s">
        <v>879</v>
      </c>
      <c r="C6" s="560" t="s">
        <v>878</v>
      </c>
      <c r="D6" s="559">
        <f>1-(1-D13)*(1-D12)</f>
        <v>3.1445300000000009E-2</v>
      </c>
      <c r="P6" s="489">
        <f>1-(1-K10)*(1-O10)*(1-Q10)</f>
        <v>0.16809191600000017</v>
      </c>
    </row>
    <row r="7" spans="1:23">
      <c r="A7" s="561" t="s">
        <v>877</v>
      </c>
      <c r="B7" s="560" t="s">
        <v>876</v>
      </c>
      <c r="C7" s="560" t="s">
        <v>875</v>
      </c>
      <c r="D7" s="559">
        <v>0.04</v>
      </c>
    </row>
    <row r="8" spans="1:23">
      <c r="A8" s="561" t="s">
        <v>874</v>
      </c>
      <c r="B8" s="560" t="s">
        <v>873</v>
      </c>
      <c r="C8" s="560" t="s">
        <v>872</v>
      </c>
      <c r="D8" s="559">
        <v>0.02</v>
      </c>
    </row>
    <row r="9" spans="1:23">
      <c r="A9" s="561" t="s">
        <v>871</v>
      </c>
      <c r="B9" s="560" t="s">
        <v>808</v>
      </c>
      <c r="C9" s="560" t="s">
        <v>870</v>
      </c>
      <c r="D9" s="559">
        <f>1-(1-D14)*(1-D15)*(1-D16)</f>
        <v>6.8412000000000139E-2</v>
      </c>
    </row>
    <row r="10" spans="1:23">
      <c r="A10" s="561" t="s">
        <v>869</v>
      </c>
      <c r="B10" s="560" t="s">
        <v>868</v>
      </c>
      <c r="C10" s="560" t="s">
        <v>867</v>
      </c>
      <c r="D10" s="559">
        <v>0.05</v>
      </c>
      <c r="E10" s="489">
        <v>0.04</v>
      </c>
      <c r="I10" s="489">
        <v>0.02</v>
      </c>
      <c r="K10" s="489">
        <f>1-(1-H15)*(1-L15)*(1-O15)</f>
        <v>6.8412000000000139E-2</v>
      </c>
      <c r="O10" s="489">
        <v>0.05</v>
      </c>
      <c r="Q10" s="489">
        <v>0.06</v>
      </c>
      <c r="T10" s="489">
        <f>Q15*U15</f>
        <v>1.4900000000000026E-3</v>
      </c>
      <c r="W10" s="562">
        <v>0.03</v>
      </c>
    </row>
    <row r="11" spans="1:23">
      <c r="A11" s="561" t="s">
        <v>866</v>
      </c>
      <c r="B11" s="560" t="s">
        <v>865</v>
      </c>
      <c r="C11" s="560" t="s">
        <v>864</v>
      </c>
      <c r="D11" s="559">
        <v>0.06</v>
      </c>
    </row>
    <row r="12" spans="1:23">
      <c r="A12" s="561" t="s">
        <v>863</v>
      </c>
      <c r="B12" s="560" t="s">
        <v>862</v>
      </c>
      <c r="C12" s="560" t="s">
        <v>861</v>
      </c>
      <c r="D12" s="559">
        <f>D17*D18</f>
        <v>1.4900000000000026E-3</v>
      </c>
    </row>
    <row r="13" spans="1:23">
      <c r="A13" s="561" t="s">
        <v>860</v>
      </c>
      <c r="B13" s="560" t="s">
        <v>859</v>
      </c>
      <c r="C13" s="560" t="s">
        <v>858</v>
      </c>
      <c r="D13" s="559">
        <v>0.03</v>
      </c>
    </row>
    <row r="14" spans="1:23">
      <c r="A14" s="569" t="s">
        <v>857</v>
      </c>
      <c r="B14" s="570" t="s">
        <v>856</v>
      </c>
      <c r="C14" s="570" t="s">
        <v>855</v>
      </c>
      <c r="D14" s="571">
        <v>0.02</v>
      </c>
    </row>
    <row r="15" spans="1:23">
      <c r="A15" s="569" t="s">
        <v>854</v>
      </c>
      <c r="B15" s="570" t="s">
        <v>811</v>
      </c>
      <c r="C15" s="570" t="s">
        <v>853</v>
      </c>
      <c r="D15" s="571">
        <v>0.02</v>
      </c>
      <c r="H15" s="572">
        <v>0.02</v>
      </c>
      <c r="L15" s="572">
        <v>0.02</v>
      </c>
      <c r="O15" s="489">
        <v>0.03</v>
      </c>
      <c r="Q15" s="489">
        <v>0.05</v>
      </c>
      <c r="U15" s="489">
        <f>1-(1-R20)*(1-V20)</f>
        <v>2.9800000000000049E-2</v>
      </c>
    </row>
    <row r="16" spans="1:23">
      <c r="A16" s="561" t="s">
        <v>852</v>
      </c>
      <c r="B16" s="560" t="s">
        <v>851</v>
      </c>
      <c r="C16" s="560" t="s">
        <v>850</v>
      </c>
      <c r="D16" s="559">
        <v>0.03</v>
      </c>
    </row>
    <row r="17" spans="1:22">
      <c r="A17" s="561" t="s">
        <v>849</v>
      </c>
      <c r="B17" s="560" t="s">
        <v>848</v>
      </c>
      <c r="C17" s="560" t="s">
        <v>847</v>
      </c>
      <c r="D17" s="559">
        <v>0.05</v>
      </c>
    </row>
    <row r="18" spans="1:22">
      <c r="A18" s="561" t="s">
        <v>846</v>
      </c>
      <c r="B18" s="560" t="s">
        <v>835</v>
      </c>
      <c r="C18" s="560" t="s">
        <v>845</v>
      </c>
      <c r="D18" s="559">
        <f>1-(1-D19)*(1-D20)</f>
        <v>2.9800000000000049E-2</v>
      </c>
    </row>
    <row r="19" spans="1:22">
      <c r="A19" s="561" t="s">
        <v>844</v>
      </c>
      <c r="B19" s="560" t="s">
        <v>836</v>
      </c>
      <c r="C19" s="560" t="s">
        <v>843</v>
      </c>
      <c r="D19" s="559">
        <v>0.01</v>
      </c>
    </row>
    <row r="20" spans="1:22" ht="15" thickBot="1">
      <c r="A20" s="558" t="s">
        <v>842</v>
      </c>
      <c r="B20" s="557" t="s">
        <v>841</v>
      </c>
      <c r="C20" s="557" t="s">
        <v>840</v>
      </c>
      <c r="D20" s="556">
        <v>0.02</v>
      </c>
      <c r="R20" s="489">
        <v>0.01</v>
      </c>
      <c r="V20" s="489">
        <v>0.02</v>
      </c>
    </row>
    <row r="26" spans="1:22">
      <c r="B26" s="573" t="s">
        <v>889</v>
      </c>
      <c r="C26" s="574"/>
      <c r="D26" s="574"/>
      <c r="E26" s="574"/>
      <c r="F26" s="574"/>
      <c r="G26" s="574"/>
    </row>
    <row r="27" spans="1:22">
      <c r="B27" s="574"/>
      <c r="C27" s="574"/>
      <c r="D27" s="574"/>
      <c r="E27" s="574"/>
      <c r="F27" s="574"/>
      <c r="G27" s="574"/>
    </row>
    <row r="28" spans="1:22">
      <c r="B28" s="574"/>
      <c r="C28" s="574"/>
      <c r="D28" s="574"/>
      <c r="E28" s="574"/>
      <c r="F28" s="574"/>
      <c r="G28" s="574"/>
    </row>
    <row r="29" spans="1:22">
      <c r="B29" s="574"/>
      <c r="C29" s="574"/>
      <c r="D29" s="574"/>
      <c r="E29" s="574"/>
      <c r="F29" s="574"/>
      <c r="G29" s="574"/>
    </row>
    <row r="30" spans="1:22">
      <c r="B30" s="574"/>
      <c r="C30" s="574"/>
      <c r="D30" s="574"/>
      <c r="E30" s="574"/>
      <c r="F30" s="574"/>
      <c r="G30" s="574"/>
    </row>
    <row r="31" spans="1:22">
      <c r="B31" s="574"/>
      <c r="C31" s="574"/>
      <c r="D31" s="574"/>
      <c r="E31" s="574"/>
      <c r="F31" s="574"/>
      <c r="G31" s="574"/>
    </row>
    <row r="32" spans="1:22">
      <c r="B32" s="574"/>
      <c r="C32" s="574"/>
      <c r="D32" s="574"/>
      <c r="E32" s="574"/>
      <c r="F32" s="574"/>
      <c r="G32" s="574"/>
    </row>
    <row r="33" spans="2:7">
      <c r="B33" s="574"/>
      <c r="C33" s="574"/>
      <c r="D33" s="574"/>
      <c r="E33" s="574"/>
      <c r="F33" s="574"/>
      <c r="G33" s="574"/>
    </row>
    <row r="34" spans="2:7">
      <c r="B34" s="574"/>
      <c r="C34" s="574"/>
      <c r="D34" s="574"/>
      <c r="E34" s="574"/>
      <c r="F34" s="574"/>
      <c r="G34" s="574"/>
    </row>
    <row r="35" spans="2:7">
      <c r="B35" s="574"/>
      <c r="C35" s="574"/>
      <c r="D35" s="574"/>
      <c r="E35" s="574"/>
      <c r="F35" s="574"/>
      <c r="G35" s="574"/>
    </row>
    <row r="36" spans="2:7">
      <c r="B36" s="574"/>
      <c r="C36" s="574"/>
      <c r="D36" s="574"/>
      <c r="E36" s="574"/>
      <c r="F36" s="574"/>
      <c r="G36" s="574"/>
    </row>
  </sheetData>
  <mergeCells count="1">
    <mergeCell ref="B26:G36"/>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BD49-44F0-45C1-B2F8-FA0E40FFBC9B}">
  <dimension ref="A1:F44"/>
  <sheetViews>
    <sheetView zoomScale="74" workbookViewId="0">
      <selection activeCell="K18" sqref="K18"/>
    </sheetView>
  </sheetViews>
  <sheetFormatPr defaultColWidth="8.88671875" defaultRowHeight="12"/>
  <cols>
    <col min="1" max="1" width="8.88671875" style="595"/>
    <col min="2" max="2" width="21" style="595" customWidth="1"/>
    <col min="3" max="3" width="47.44140625" style="595" customWidth="1"/>
    <col min="4" max="5" width="8.88671875" style="595"/>
    <col min="6" max="6" width="71.5546875" style="595" customWidth="1"/>
    <col min="7" max="16384" width="8.88671875" style="595"/>
  </cols>
  <sheetData>
    <row r="1" spans="1:6" ht="15.9" customHeight="1">
      <c r="A1" s="599" t="s">
        <v>512</v>
      </c>
      <c r="B1" s="599"/>
      <c r="C1" s="599"/>
      <c r="D1" s="599"/>
      <c r="E1" s="599"/>
      <c r="F1" s="599"/>
    </row>
    <row r="2" spans="1:6" ht="21.9" customHeight="1">
      <c r="A2" s="599" t="s">
        <v>513</v>
      </c>
      <c r="B2" s="599"/>
      <c r="C2" s="600" t="s">
        <v>254</v>
      </c>
      <c r="D2" s="600" t="s">
        <v>514</v>
      </c>
      <c r="E2" s="600" t="s">
        <v>515</v>
      </c>
      <c r="F2" s="600" t="s">
        <v>516</v>
      </c>
    </row>
    <row r="3" spans="1:6" ht="21.9" customHeight="1">
      <c r="A3" s="608" t="s">
        <v>932</v>
      </c>
      <c r="B3" s="608"/>
      <c r="C3" s="608"/>
      <c r="D3" s="608"/>
      <c r="E3" s="608"/>
      <c r="F3" s="608"/>
    </row>
    <row r="4" spans="1:6" ht="21.9" customHeight="1">
      <c r="A4" s="602">
        <v>1.1000000000000001</v>
      </c>
      <c r="B4" s="602" t="s">
        <v>924</v>
      </c>
      <c r="C4" s="602" t="s">
        <v>924</v>
      </c>
      <c r="D4" s="604">
        <v>45870</v>
      </c>
      <c r="E4" s="604">
        <v>45889</v>
      </c>
      <c r="F4" s="601" t="s">
        <v>926</v>
      </c>
    </row>
    <row r="5" spans="1:6" ht="24">
      <c r="A5" s="602">
        <v>1.2</v>
      </c>
      <c r="B5" s="602" t="s">
        <v>925</v>
      </c>
      <c r="C5" s="603" t="s">
        <v>928</v>
      </c>
      <c r="D5" s="604">
        <v>45884</v>
      </c>
      <c r="E5" s="604">
        <v>45900</v>
      </c>
      <c r="F5" s="601" t="s">
        <v>927</v>
      </c>
    </row>
    <row r="6" spans="1:6">
      <c r="A6" s="602">
        <v>1.3</v>
      </c>
      <c r="B6" s="602" t="s">
        <v>929</v>
      </c>
      <c r="C6" s="602" t="s">
        <v>930</v>
      </c>
      <c r="D6" s="604">
        <v>45889</v>
      </c>
      <c r="E6" s="604">
        <v>45905</v>
      </c>
      <c r="F6" s="601" t="s">
        <v>931</v>
      </c>
    </row>
    <row r="7" spans="1:6" ht="21.9" customHeight="1">
      <c r="A7" s="608" t="s">
        <v>933</v>
      </c>
      <c r="B7" s="608"/>
      <c r="C7" s="608"/>
      <c r="D7" s="608"/>
      <c r="E7" s="608"/>
      <c r="F7" s="608"/>
    </row>
    <row r="8" spans="1:6" ht="24">
      <c r="A8" s="602">
        <v>2.1</v>
      </c>
      <c r="B8" s="602" t="s">
        <v>934</v>
      </c>
      <c r="C8" s="603" t="s">
        <v>935</v>
      </c>
      <c r="D8" s="604">
        <v>45879</v>
      </c>
      <c r="E8" s="604">
        <v>45899</v>
      </c>
      <c r="F8" s="601" t="s">
        <v>938</v>
      </c>
    </row>
    <row r="9" spans="1:6" ht="24">
      <c r="A9" s="602">
        <v>2.2000000000000002</v>
      </c>
      <c r="B9" s="602" t="s">
        <v>936</v>
      </c>
      <c r="C9" s="602" t="s">
        <v>937</v>
      </c>
      <c r="D9" s="604">
        <v>45901</v>
      </c>
      <c r="E9" s="604">
        <v>45920</v>
      </c>
      <c r="F9" s="601" t="s">
        <v>939</v>
      </c>
    </row>
    <row r="10" spans="1:6" ht="24">
      <c r="A10" s="602">
        <v>2.2999999999999998</v>
      </c>
      <c r="B10" s="602" t="s">
        <v>940</v>
      </c>
      <c r="C10" s="602" t="s">
        <v>517</v>
      </c>
      <c r="D10" s="604">
        <v>45915</v>
      </c>
      <c r="E10" s="604">
        <v>45930</v>
      </c>
      <c r="F10" s="601" t="s">
        <v>941</v>
      </c>
    </row>
    <row r="11" spans="1:6" ht="21.9" customHeight="1">
      <c r="A11" s="608" t="s">
        <v>942</v>
      </c>
      <c r="B11" s="608"/>
      <c r="C11" s="608"/>
      <c r="D11" s="608"/>
      <c r="E11" s="608"/>
      <c r="F11" s="608"/>
    </row>
    <row r="12" spans="1:6">
      <c r="A12" s="602">
        <v>3.1</v>
      </c>
      <c r="B12" s="602" t="s">
        <v>943</v>
      </c>
      <c r="C12" s="602" t="s">
        <v>944</v>
      </c>
      <c r="D12" s="604">
        <v>45889</v>
      </c>
      <c r="E12" s="604">
        <v>45910</v>
      </c>
      <c r="F12" s="601" t="s">
        <v>950</v>
      </c>
    </row>
    <row r="13" spans="1:6" ht="24">
      <c r="A13" s="602">
        <v>3.2</v>
      </c>
      <c r="B13" s="603" t="s">
        <v>947</v>
      </c>
      <c r="C13" s="602" t="s">
        <v>949</v>
      </c>
      <c r="D13" s="604">
        <v>45910</v>
      </c>
      <c r="E13" s="604">
        <v>45930</v>
      </c>
      <c r="F13" s="601" t="s">
        <v>951</v>
      </c>
    </row>
    <row r="14" spans="1:6">
      <c r="A14" s="602">
        <v>3.3</v>
      </c>
      <c r="B14" s="602" t="s">
        <v>945</v>
      </c>
      <c r="C14" s="602" t="s">
        <v>948</v>
      </c>
      <c r="D14" s="605">
        <v>45931</v>
      </c>
      <c r="E14" s="605">
        <v>45950</v>
      </c>
      <c r="F14" s="601" t="s">
        <v>946</v>
      </c>
    </row>
    <row r="15" spans="1:6">
      <c r="A15" s="602">
        <v>3.4</v>
      </c>
      <c r="B15" s="602" t="s">
        <v>952</v>
      </c>
      <c r="C15" s="602" t="s">
        <v>953</v>
      </c>
      <c r="D15" s="604">
        <v>45945</v>
      </c>
      <c r="E15" s="604">
        <v>45961</v>
      </c>
      <c r="F15" s="601" t="s">
        <v>954</v>
      </c>
    </row>
    <row r="16" spans="1:6" ht="21.9" customHeight="1">
      <c r="A16" s="608" t="s">
        <v>955</v>
      </c>
      <c r="B16" s="608"/>
      <c r="C16" s="608"/>
      <c r="D16" s="608"/>
      <c r="E16" s="608"/>
      <c r="F16" s="608"/>
    </row>
    <row r="17" spans="1:6">
      <c r="A17" s="602">
        <v>4.0999999999999996</v>
      </c>
      <c r="B17" s="602" t="s">
        <v>958</v>
      </c>
      <c r="C17" s="603" t="s">
        <v>959</v>
      </c>
      <c r="D17" s="604">
        <v>45962</v>
      </c>
      <c r="E17" s="604">
        <v>45986</v>
      </c>
      <c r="F17" s="601" t="s">
        <v>960</v>
      </c>
    </row>
    <row r="18" spans="1:6" ht="24">
      <c r="A18" s="602">
        <v>4.2</v>
      </c>
      <c r="B18" s="602" t="s">
        <v>961</v>
      </c>
      <c r="C18" s="602" t="s">
        <v>962</v>
      </c>
      <c r="D18" s="604">
        <v>45971</v>
      </c>
      <c r="E18" s="604">
        <v>45991</v>
      </c>
      <c r="F18" s="601" t="s">
        <v>963</v>
      </c>
    </row>
    <row r="19" spans="1:6" ht="24">
      <c r="A19" s="602">
        <v>4.3</v>
      </c>
      <c r="B19" s="602" t="s">
        <v>964</v>
      </c>
      <c r="C19" s="602" t="s">
        <v>965</v>
      </c>
      <c r="D19" s="604">
        <v>45986</v>
      </c>
      <c r="E19" s="604">
        <v>45999</v>
      </c>
      <c r="F19" s="601" t="s">
        <v>966</v>
      </c>
    </row>
    <row r="20" spans="1:6" ht="24">
      <c r="A20" s="602">
        <v>4.4000000000000004</v>
      </c>
      <c r="B20" s="602" t="s">
        <v>967</v>
      </c>
      <c r="C20" s="602" t="s">
        <v>968</v>
      </c>
      <c r="D20" s="604">
        <v>46000</v>
      </c>
      <c r="E20" s="604">
        <v>46006</v>
      </c>
      <c r="F20" s="601" t="s">
        <v>969</v>
      </c>
    </row>
    <row r="21" spans="1:6" ht="13.8">
      <c r="A21" s="608" t="s">
        <v>956</v>
      </c>
      <c r="B21" s="608"/>
      <c r="C21" s="608"/>
      <c r="D21" s="608"/>
      <c r="E21" s="608"/>
      <c r="F21" s="608"/>
    </row>
    <row r="22" spans="1:6" ht="24">
      <c r="A22" s="602">
        <v>5.0999999999999996</v>
      </c>
      <c r="B22" s="603" t="s">
        <v>970</v>
      </c>
      <c r="C22" s="602" t="s">
        <v>977</v>
      </c>
      <c r="D22" s="604">
        <v>45677</v>
      </c>
      <c r="E22" s="604">
        <v>45691</v>
      </c>
      <c r="F22" s="601" t="s">
        <v>978</v>
      </c>
    </row>
    <row r="23" spans="1:6" ht="36">
      <c r="A23" s="602">
        <v>5.2</v>
      </c>
      <c r="B23" s="603" t="s">
        <v>971</v>
      </c>
      <c r="C23" s="602" t="s">
        <v>976</v>
      </c>
      <c r="D23" s="604">
        <v>45684</v>
      </c>
      <c r="E23" s="604">
        <v>45700</v>
      </c>
      <c r="F23" s="601" t="s">
        <v>979</v>
      </c>
    </row>
    <row r="24" spans="1:6" ht="24">
      <c r="A24" s="602">
        <v>5.3</v>
      </c>
      <c r="B24" s="603" t="s">
        <v>972</v>
      </c>
      <c r="C24" s="602" t="s">
        <v>975</v>
      </c>
      <c r="D24" s="604">
        <v>45696</v>
      </c>
      <c r="E24" s="604">
        <v>45716</v>
      </c>
      <c r="F24" s="601" t="s">
        <v>980</v>
      </c>
    </row>
    <row r="25" spans="1:6" ht="36">
      <c r="A25" s="602">
        <v>5.4</v>
      </c>
      <c r="B25" s="602" t="s">
        <v>973</v>
      </c>
      <c r="C25" s="603" t="s">
        <v>974</v>
      </c>
      <c r="D25" s="604">
        <v>45713</v>
      </c>
      <c r="E25" s="604">
        <v>45724</v>
      </c>
      <c r="F25" s="601" t="s">
        <v>981</v>
      </c>
    </row>
    <row r="26" spans="1:6" ht="13.8">
      <c r="A26" s="608" t="s">
        <v>957</v>
      </c>
      <c r="B26" s="608"/>
      <c r="C26" s="608"/>
      <c r="D26" s="608"/>
      <c r="E26" s="608"/>
      <c r="F26" s="608"/>
    </row>
    <row r="27" spans="1:6">
      <c r="A27" s="602">
        <v>6.1</v>
      </c>
      <c r="B27" s="602" t="s">
        <v>982</v>
      </c>
      <c r="C27" s="602" t="s">
        <v>983</v>
      </c>
      <c r="D27" s="604">
        <v>45717</v>
      </c>
      <c r="E27" s="606">
        <v>45734</v>
      </c>
      <c r="F27" s="607" t="s">
        <v>984</v>
      </c>
    </row>
    <row r="28" spans="1:6" ht="24">
      <c r="A28" s="602">
        <v>6.2</v>
      </c>
      <c r="B28" s="602" t="s">
        <v>985</v>
      </c>
      <c r="C28" s="602" t="s">
        <v>986</v>
      </c>
      <c r="D28" s="604">
        <v>45728</v>
      </c>
      <c r="E28" s="604">
        <v>45742</v>
      </c>
      <c r="F28" s="601" t="s">
        <v>987</v>
      </c>
    </row>
    <row r="29" spans="1:6" ht="24">
      <c r="A29" s="602">
        <v>6.3</v>
      </c>
      <c r="B29" s="603" t="s">
        <v>988</v>
      </c>
      <c r="C29" s="602" t="s">
        <v>989</v>
      </c>
      <c r="D29" s="604">
        <v>45738</v>
      </c>
      <c r="E29" s="604">
        <v>45748</v>
      </c>
      <c r="F29" s="601" t="s">
        <v>990</v>
      </c>
    </row>
    <row r="30" spans="1:6" ht="24">
      <c r="A30" s="602">
        <v>6.4</v>
      </c>
      <c r="B30" s="603" t="s">
        <v>991</v>
      </c>
      <c r="C30" s="602" t="s">
        <v>994</v>
      </c>
      <c r="D30" s="604">
        <v>45744</v>
      </c>
      <c r="E30" s="604">
        <v>45759</v>
      </c>
      <c r="F30" s="601" t="s">
        <v>995</v>
      </c>
    </row>
    <row r="31" spans="1:6" ht="48">
      <c r="A31" s="602">
        <v>6.5</v>
      </c>
      <c r="B31" s="602" t="s">
        <v>992</v>
      </c>
      <c r="C31" s="602" t="s">
        <v>993</v>
      </c>
      <c r="D31" s="604">
        <v>45755</v>
      </c>
      <c r="E31" s="604">
        <v>45767</v>
      </c>
      <c r="F31" s="601" t="s">
        <v>996</v>
      </c>
    </row>
    <row r="32" spans="1:6" ht="13.8">
      <c r="A32" s="608" t="s">
        <v>997</v>
      </c>
      <c r="B32" s="608"/>
      <c r="C32" s="608"/>
      <c r="D32" s="608"/>
      <c r="E32" s="608"/>
      <c r="F32" s="608"/>
    </row>
    <row r="33" spans="1:6">
      <c r="A33" s="602">
        <v>7.1</v>
      </c>
      <c r="B33" s="603" t="s">
        <v>999</v>
      </c>
      <c r="C33" s="602" t="s">
        <v>1004</v>
      </c>
      <c r="D33" s="604">
        <v>45759</v>
      </c>
      <c r="E33" s="606">
        <v>45775</v>
      </c>
      <c r="F33" s="607" t="s">
        <v>1005</v>
      </c>
    </row>
    <row r="34" spans="1:6" ht="36">
      <c r="A34" s="602">
        <v>7.2</v>
      </c>
      <c r="B34" s="603" t="s">
        <v>1000</v>
      </c>
      <c r="C34" s="602" t="s">
        <v>1003</v>
      </c>
      <c r="D34" s="604">
        <v>45769</v>
      </c>
      <c r="E34" s="604">
        <v>45782</v>
      </c>
      <c r="F34" s="601" t="s">
        <v>1006</v>
      </c>
    </row>
    <row r="35" spans="1:6" ht="36">
      <c r="A35" s="602">
        <v>7.3</v>
      </c>
      <c r="B35" s="603" t="s">
        <v>1001</v>
      </c>
      <c r="C35" s="602" t="s">
        <v>1002</v>
      </c>
      <c r="D35" s="604">
        <v>45778</v>
      </c>
      <c r="E35" s="604">
        <v>45787</v>
      </c>
      <c r="F35" s="601" t="s">
        <v>1007</v>
      </c>
    </row>
    <row r="36" spans="1:6" ht="13.8">
      <c r="A36" s="608" t="s">
        <v>998</v>
      </c>
      <c r="B36" s="608"/>
      <c r="C36" s="608"/>
      <c r="D36" s="608"/>
      <c r="E36" s="608"/>
      <c r="F36" s="608"/>
    </row>
    <row r="37" spans="1:6" ht="24">
      <c r="A37" s="602">
        <v>8.1</v>
      </c>
      <c r="B37" s="602" t="s">
        <v>1008</v>
      </c>
      <c r="C37" s="603" t="s">
        <v>1011</v>
      </c>
      <c r="D37" s="604">
        <v>45783</v>
      </c>
      <c r="E37" s="606">
        <v>45792</v>
      </c>
      <c r="F37" s="607" t="s">
        <v>1014</v>
      </c>
    </row>
    <row r="38" spans="1:6" ht="24">
      <c r="A38" s="602">
        <v>8.1999999999999993</v>
      </c>
      <c r="B38" s="603" t="s">
        <v>1009</v>
      </c>
      <c r="C38" s="602" t="s">
        <v>1012</v>
      </c>
      <c r="D38" s="604">
        <v>45787</v>
      </c>
      <c r="E38" s="604">
        <v>45797</v>
      </c>
      <c r="F38" s="601" t="s">
        <v>1015</v>
      </c>
    </row>
    <row r="39" spans="1:6" ht="24">
      <c r="A39" s="602">
        <v>8.3000000000000007</v>
      </c>
      <c r="B39" s="603" t="s">
        <v>1010</v>
      </c>
      <c r="C39" s="602" t="s">
        <v>1013</v>
      </c>
      <c r="D39" s="604">
        <v>45789</v>
      </c>
      <c r="E39" s="604">
        <v>45797</v>
      </c>
      <c r="F39" s="601" t="s">
        <v>1016</v>
      </c>
    </row>
    <row r="40" spans="1:6">
      <c r="A40" s="602">
        <v>8.4</v>
      </c>
      <c r="B40" s="602" t="s">
        <v>1017</v>
      </c>
      <c r="C40" s="602" t="s">
        <v>1020</v>
      </c>
      <c r="D40" s="604">
        <v>45797</v>
      </c>
      <c r="E40" s="606">
        <v>45807</v>
      </c>
      <c r="F40" s="607" t="s">
        <v>1021</v>
      </c>
    </row>
    <row r="41" spans="1:6">
      <c r="A41" s="602">
        <v>8.5</v>
      </c>
      <c r="B41" s="603" t="s">
        <v>1018</v>
      </c>
      <c r="C41" s="602" t="s">
        <v>1019</v>
      </c>
      <c r="D41" s="604">
        <v>45802</v>
      </c>
      <c r="E41" s="604">
        <v>45807</v>
      </c>
      <c r="F41" s="601" t="s">
        <v>1022</v>
      </c>
    </row>
    <row r="42" spans="1:6">
      <c r="A42" s="597"/>
      <c r="C42" s="597"/>
      <c r="D42" s="598"/>
      <c r="E42" s="598"/>
      <c r="F42" s="596"/>
    </row>
    <row r="43" spans="1:6">
      <c r="A43" s="597"/>
      <c r="B43" s="597"/>
      <c r="C43" s="597"/>
      <c r="D43" s="598"/>
      <c r="E43" s="598"/>
      <c r="F43" s="596"/>
    </row>
    <row r="44" spans="1:6">
      <c r="A44" s="597"/>
      <c r="C44" s="597"/>
      <c r="D44" s="598"/>
      <c r="E44" s="598"/>
      <c r="F44" s="596"/>
    </row>
  </sheetData>
  <mergeCells count="10">
    <mergeCell ref="A21:F21"/>
    <mergeCell ref="A26:F26"/>
    <mergeCell ref="A32:F32"/>
    <mergeCell ref="A36:F36"/>
    <mergeCell ref="A1:F1"/>
    <mergeCell ref="A2:B2"/>
    <mergeCell ref="A3:F3"/>
    <mergeCell ref="A7:F7"/>
    <mergeCell ref="A11:F11"/>
    <mergeCell ref="A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Customer Affinity Process</vt:lpstr>
      <vt:lpstr>Use Cases</vt:lpstr>
      <vt:lpstr>UCBD1</vt:lpstr>
      <vt:lpstr>UCBD2</vt:lpstr>
      <vt:lpstr>UCBD3</vt:lpstr>
      <vt:lpstr>Originating Requirements</vt:lpstr>
      <vt:lpstr>Concept fragment Generation</vt:lpstr>
      <vt:lpstr>Combination Table</vt:lpstr>
      <vt:lpstr>Decision Matrix</vt:lpstr>
      <vt:lpstr>GQM</vt:lpstr>
      <vt:lpstr>AHP</vt:lpstr>
      <vt:lpstr>QFD</vt:lpstr>
      <vt:lpstr>Subsystem Matrix</vt:lpstr>
      <vt:lpstr>ODT1</vt:lpstr>
      <vt:lpstr>ODT2</vt:lpstr>
      <vt:lpstr>Interface Matrix</vt:lpstr>
      <vt:lpstr>Behavioral Test Plan</vt:lpstr>
      <vt:lpstr>Non Behavioral Test Plan</vt:lpstr>
      <vt:lpstr>VCRM</vt:lpstr>
      <vt:lpstr>Severity &amp; Likelihood Rating </vt:lpstr>
      <vt:lpstr>Criticality rating system</vt:lpstr>
      <vt:lpstr>FMEA</vt:lpstr>
      <vt:lpstr>Fault tree</vt:lpstr>
      <vt:lpstr>Updated Fault tree</vt: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Janhavi Satyawan Gaikwad</dc:creator>
  <cp:lastModifiedBy>Janhavi Satyawan Gaikwad</cp:lastModifiedBy>
  <dcterms:created xsi:type="dcterms:W3CDTF">2025-09-08T02:24:00Z</dcterms:created>
  <dcterms:modified xsi:type="dcterms:W3CDTF">2025-12-10T21:37:41Z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4F6B17FCDD744C3AA3C2B1D1015E7FD7_13</vt:lpwstr>
  </property>
  <property fmtid="{D5CDD505-2E9C-101B-9397-08002B2CF9AE}" pid="3" name="KSOProductBuildVer">
    <vt:lpwstr>2057-12.2.0.22556</vt:lpwstr>
  </property>
</Properties>
</file>